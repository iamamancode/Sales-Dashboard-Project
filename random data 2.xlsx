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hidePivotFieldList="1" defaultThemeVersion="124226"/>
  <bookViews>
    <workbookView xWindow="-108" yWindow="-108" windowWidth="23256" windowHeight="12456" activeTab="3"/>
  </bookViews>
  <sheets>
    <sheet name="Practice" sheetId="1" r:id="rId1"/>
    <sheet name="well data " sheetId="12" r:id="rId2"/>
    <sheet name="kpi" sheetId="13" r:id="rId3"/>
    <sheet name="Final Dashboard" sheetId="14" r:id="rId4"/>
  </sheets>
  <definedNames>
    <definedName name="_xlnm._FilterDatabase" localSheetId="0" hidden="1">Practice!$AC$39:$AJ$49</definedName>
    <definedName name="_xlnm._FilterDatabase" localSheetId="1" hidden="1">'well data '!$A$3:$U$100</definedName>
    <definedName name="Slicer_city">#N/A</definedName>
    <definedName name="Slicer_Names">#N/A</definedName>
    <definedName name="Slicer_PaymentMethod">#N/A</definedName>
    <definedName name="Slicer_Product">#N/A</definedName>
    <definedName name="Slicer_Region">#N/A</definedName>
  </definedNames>
  <calcPr calcId="145621"/>
  <pivotCaches>
    <pivotCache cacheId="0" r:id="rId5"/>
    <pivotCache cacheId="4"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W6" i="12" l="1"/>
  <c r="A2" i="13"/>
  <c r="C2" i="13"/>
  <c r="A8" i="13"/>
  <c r="C8" i="13"/>
  <c r="U3" i="1" l="1"/>
  <c r="E100" i="1" l="1"/>
  <c r="AM48" i="1"/>
  <c r="AM47" i="1"/>
  <c r="AL50" i="1" s="1"/>
  <c r="AJ40" i="1"/>
</calcChain>
</file>

<file path=xl/sharedStrings.xml><?xml version="1.0" encoding="utf-8"?>
<sst xmlns="http://schemas.openxmlformats.org/spreadsheetml/2006/main" count="2112" uniqueCount="291">
  <si>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</si>
  <si>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</si>
  <si>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</si>
  <si>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</si>
  <si>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</si>
  <si>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</si>
  <si>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</si>
  <si>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</si>
  <si>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</si>
  <si>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</si>
  <si>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</si>
  <si>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</si>
  <si>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</si>
  <si>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</si>
  <si>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</si>
  <si>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</si>
  <si>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</si>
  <si>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</si>
  <si>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</si>
  <si>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</si>
  <si>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</si>
  <si>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</si>
  <si>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</si>
  <si>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</si>
  <si>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</si>
  <si>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</si>
  <si>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</si>
  <si>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</si>
  <si>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</si>
  <si>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</si>
  <si>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</si>
  <si>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</si>
  <si>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</si>
  <si>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</si>
  <si>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</si>
  <si>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</si>
  <si>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</si>
  <si>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</si>
  <si>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</si>
  <si>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</si>
  <si>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</si>
  <si>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</si>
  <si>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</si>
  <si>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</si>
  <si>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</si>
  <si>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</si>
  <si>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</si>
  <si>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</si>
  <si>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</si>
  <si>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</si>
  <si>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</si>
  <si>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</si>
  <si>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</si>
  <si>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</si>
  <si>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</si>
  <si>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</si>
  <si>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</si>
  <si>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</si>
  <si>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</si>
  <si>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</si>
  <si>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</si>
  <si>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</si>
  <si>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</si>
  <si>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</si>
  <si>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</si>
  <si>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</si>
  <si>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</si>
  <si>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</si>
  <si>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</si>
  <si>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</si>
  <si>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</si>
  <si>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</si>
  <si>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</si>
  <si>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</si>
  <si>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</si>
  <si>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</si>
  <si>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</si>
  <si>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</si>
  <si>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</si>
  <si>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</si>
  <si>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</si>
  <si>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</si>
  <si>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</si>
  <si>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</si>
  <si>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</si>
  <si>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</si>
  <si>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</si>
  <si>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</si>
  <si>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</si>
  <si>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</si>
  <si>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</si>
  <si>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</si>
  <si>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</si>
  <si>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</si>
  <si>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</si>
  <si>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</si>
  <si>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</si>
  <si>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</si>
  <si>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</si>
  <si>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</si>
  <si>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</si>
  <si>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</si>
  <si>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</si>
  <si>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</si>
  <si>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</si>
  <si>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</si>
  <si>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</si>
  <si>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</si>
  <si>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</si>
  <si>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</si>
  <si>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</si>
  <si>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</si>
  <si>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</si>
  <si>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</si>
  <si>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</si>
  <si>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</si>
  <si>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</si>
  <si>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</si>
  <si>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</si>
  <si>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</si>
  <si>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</si>
  <si>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</si>
  <si>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</si>
  <si>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</si>
  <si>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</si>
  <si>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</si>
  <si>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</si>
  <si>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</si>
  <si>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</si>
  <si>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</si>
  <si>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</si>
  <si>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</si>
  <si>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</si>
  <si>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</si>
  <si>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</si>
  <si>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</si>
  <si>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</si>
  <si>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</si>
  <si>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</si>
  <si>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</si>
  <si>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</si>
  <si>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</si>
  <si>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</si>
  <si>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</si>
  <si>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</si>
  <si>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</si>
  <si>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</si>
  <si>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</si>
  <si>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</si>
  <si>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</si>
  <si>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</si>
  <si>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</si>
  <si>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</si>
  <si>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</si>
  <si>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</si>
  <si>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</si>
  <si>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</si>
  <si>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</si>
  <si>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</si>
  <si>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</si>
  <si>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</si>
  <si>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</si>
  <si>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</si>
  <si>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</si>
  <si>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</si>
  <si>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</si>
  <si>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</si>
  <si>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</si>
  <si>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</si>
  <si>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</si>
  <si>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</si>
  <si>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</si>
  <si>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</si>
  <si>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</si>
  <si>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</si>
  <si>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</si>
  <si>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</si>
  <si>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</si>
  <si>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</si>
  <si>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</si>
  <si>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</si>
  <si>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</si>
  <si>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</si>
  <si>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</si>
  <si>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</si>
  <si>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</si>
  <si>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</si>
  <si>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</si>
  <si>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</si>
  <si>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</si>
  <si>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</si>
  <si>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</si>
  <si>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</si>
  <si>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</si>
  <si>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</si>
  <si>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</si>
  <si>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</si>
  <si>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</si>
  <si>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</si>
  <si>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</si>
  <si>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</si>
  <si>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</si>
  <si>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</si>
  <si>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</si>
  <si>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</si>
  <si>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</si>
  <si>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</si>
  <si>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</si>
  <si>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</si>
  <si>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</si>
  <si>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</si>
  <si>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</si>
  <si>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</si>
  <si>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</si>
  <si>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</si>
  <si>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</si>
  <si>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</si>
  <si>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</si>
  <si>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</si>
  <si>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</si>
  <si>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</si>
  <si>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</si>
  <si>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</si>
  <si>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</si>
  <si>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</si>
  <si>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</si>
  <si>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</si>
  <si>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</si>
  <si>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</si>
  <si>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</si>
  <si>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</si>
  <si>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</si>
  <si>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</si>
  <si>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</si>
  <si>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</si>
  <si>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</si>
  <si>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</si>
  <si>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</si>
  <si>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</si>
  <si>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</si>
  <si>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</si>
  <si>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</si>
  <si>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</si>
  <si>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</si>
  <si>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</si>
  <si>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Eric</t>
  </si>
  <si>
    <t>Sophie</t>
  </si>
  <si>
    <t>Ryan</t>
  </si>
  <si>
    <t>Cameron</t>
  </si>
  <si>
    <t>Wendy</t>
  </si>
  <si>
    <t>Companies Data</t>
  </si>
  <si>
    <t>S,NO</t>
  </si>
  <si>
    <t>Names</t>
  </si>
  <si>
    <t xml:space="preserve">Sub 1 </t>
  </si>
  <si>
    <t>Sub 2</t>
  </si>
  <si>
    <t>Sub 3</t>
  </si>
  <si>
    <t>Total</t>
  </si>
  <si>
    <t>S.no</t>
  </si>
  <si>
    <t xml:space="preserve">Dates </t>
  </si>
  <si>
    <t>Aman</t>
  </si>
  <si>
    <t>Naman</t>
  </si>
  <si>
    <t>Aagman</t>
  </si>
  <si>
    <t>Sharad</t>
  </si>
  <si>
    <t>Raman</t>
  </si>
  <si>
    <t xml:space="preserve">Ayush </t>
  </si>
  <si>
    <t xml:space="preserve">Utkarsh </t>
  </si>
  <si>
    <t xml:space="preserve">Naveen </t>
  </si>
  <si>
    <t>Rohit</t>
  </si>
  <si>
    <t>Shudhanshu</t>
  </si>
  <si>
    <t>Row</t>
  </si>
  <si>
    <t>Column</t>
  </si>
  <si>
    <t xml:space="preserve"> </t>
  </si>
  <si>
    <t>Sum of Total</t>
  </si>
  <si>
    <t>Cust40829</t>
  </si>
  <si>
    <t>Bihar</t>
  </si>
  <si>
    <t>city</t>
  </si>
  <si>
    <t>Lucknow</t>
  </si>
  <si>
    <t>Kanpur</t>
  </si>
  <si>
    <t>Gonda</t>
  </si>
  <si>
    <t>Mumbai</t>
  </si>
  <si>
    <t>Female</t>
  </si>
  <si>
    <t xml:space="preserve">Female </t>
  </si>
  <si>
    <t>Male</t>
  </si>
  <si>
    <t>Sum of ShippingCost</t>
  </si>
  <si>
    <t>Sum of Discount</t>
  </si>
  <si>
    <t xml:space="preserve">Net Sales </t>
  </si>
  <si>
    <t>Profit</t>
  </si>
  <si>
    <t xml:space="preserve">Sum of Net Sales </t>
  </si>
  <si>
    <t>Sum of Profit</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</si>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</sst>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yyyy\-mm\-dd"/>
    <numFmt numFmtId="165" formatCode="[$-F400]h:mm:ss\ AM/PM"/>
    <numFmt numFmtId="166" formatCode="[$-14009]dd/mm/yy;@"/>
  </numFmts>
  <fonts count="9">
    <font>
      <sz val="11"/>
      <color theme="1"/>
      <name val="Calibri"/>
      <family val="2"/>
      <scheme val="minor"/>
    </font>
    <font>
      <b/>
      <sz val="11"/>
      <color theme="1"/>
      <name val="Calibri"/>
      <family val="2"/>
      <scheme val="minor"/>
    </font>
    <font>
      <sz val="11"/>
      <color theme="1"/>
      <name val="Calibri"/>
      <family val="2"/>
      <scheme val="minor"/>
    </font>
    <font>
      <b/>
      <sz val="11"/>
      <color rgb="FFFA7D00"/>
      <name val="Calibri"/>
      <family val="2"/>
      <scheme val="minor"/>
    </font>
    <font>
      <sz val="11"/>
      <color theme="0"/>
      <name val="Calibri"/>
      <family val="2"/>
      <scheme val="minor"/>
    </font>
    <font>
      <b/>
      <sz val="24"/>
      <color rgb="FFC00000"/>
      <name val="Calibri"/>
      <family val="2"/>
      <scheme val="minor"/>
    </font>
    <font>
      <b/>
      <sz val="11"/>
      <color theme="9"/>
      <name val="Calibri"/>
      <family val="2"/>
      <scheme val="minor"/>
    </font>
    <font>
      <sz val="11"/>
      <color rgb="FF3F3F76"/>
      <name val="Calibri"/>
      <family val="2"/>
      <scheme val="minor"/>
    </font>
    <font>
      <b/>
      <sz val="11"/>
      <color rgb="FFFFC000"/>
      <name val="Calibri"/>
      <family val="2"/>
      <scheme val="minor"/>
    </font>
  </fonts>
  <fills count="13">
    <fill>
      <patternFill patternType="none"/>
    </fill>
    <fill>
      <patternFill patternType="gray125"/>
    </fill>
    <fill>
      <patternFill patternType="solid">
        <fgColor theme="6" tint="0.39997558519241921"/>
        <bgColor indexed="64"/>
      </patternFill>
    </fill>
    <fill>
      <patternFill patternType="solid">
        <fgColor rgb="FFF2F2F2"/>
      </patternFill>
    </fill>
    <fill>
      <patternFill patternType="solid">
        <fgColor theme="5"/>
      </patternFill>
    </fill>
    <fill>
      <patternFill patternType="solid">
        <fgColor theme="7" tint="0.59999389629810485"/>
        <bgColor indexed="65"/>
      </patternFill>
    </fill>
    <fill>
      <patternFill patternType="solid">
        <fgColor theme="4"/>
      </patternFill>
    </fill>
    <fill>
      <patternFill patternType="solid">
        <fgColor theme="6" tint="0.59999389629810485"/>
        <bgColor indexed="65"/>
      </patternFill>
    </fill>
    <fill>
      <patternFill patternType="solid">
        <fgColor theme="1"/>
        <bgColor indexed="64"/>
      </patternFill>
    </fill>
    <fill>
      <patternFill patternType="solid">
        <fgColor rgb="FFFFFF00"/>
        <bgColor indexed="64"/>
      </patternFill>
    </fill>
    <fill>
      <patternFill patternType="solid">
        <fgColor rgb="FFFFCC99"/>
      </patternFill>
    </fill>
    <fill>
      <patternFill patternType="solid">
        <fgColor theme="4" tint="0.59999389629810485"/>
        <bgColor indexed="65"/>
      </patternFill>
    </fill>
    <fill>
      <patternFill patternType="solid">
        <fgColor theme="1" tint="4.9989318521683403E-2"/>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thin">
        <color auto="1"/>
      </bottom>
      <diagonal/>
    </border>
    <border>
      <left style="thin">
        <color auto="1"/>
      </left>
      <right style="thin">
        <color auto="1"/>
      </right>
      <top/>
      <bottom/>
      <diagonal/>
    </border>
  </borders>
  <cellStyleXfs count="8">
    <xf numFmtId="0" fontId="0" fillId="0" borderId="0"/>
    <xf numFmtId="0" fontId="3" fillId="3" borderId="3" applyNumberFormat="0" applyAlignment="0" applyProtection="0"/>
    <xf numFmtId="0" fontId="4" fillId="4" borderId="0" applyNumberFormat="0" applyBorder="0" applyAlignment="0" applyProtection="0"/>
    <xf numFmtId="0" fontId="2" fillId="5" borderId="0" applyNumberFormat="0" applyBorder="0" applyAlignment="0" applyProtection="0"/>
    <xf numFmtId="0" fontId="4" fillId="6" borderId="0" applyNumberFormat="0" applyBorder="0" applyAlignment="0" applyProtection="0"/>
    <xf numFmtId="0" fontId="2" fillId="7" borderId="0" applyNumberFormat="0" applyBorder="0" applyAlignment="0" applyProtection="0"/>
    <xf numFmtId="0" fontId="7" fillId="10" borderId="3" applyNumberFormat="0" applyAlignment="0" applyProtection="0"/>
    <xf numFmtId="0" fontId="2" fillId="11" borderId="0" applyNumberFormat="0" applyBorder="0" applyAlignment="0" applyProtection="0"/>
  </cellStyleXfs>
  <cellXfs count="51">
    <xf numFmtId="0" fontId="0" fillId="0" borderId="0" xfId="0"/>
    <xf numFmtId="164" fontId="0" fillId="0" borderId="0" xfId="0" applyNumberFormat="1"/>
    <xf numFmtId="164" fontId="1" fillId="0" borderId="0" xfId="0" applyNumberFormat="1" applyFont="1" applyAlignment="1">
      <alignment horizontal="center"/>
    </xf>
    <xf numFmtId="0" fontId="1" fillId="0" borderId="0" xfId="0" applyFont="1" applyAlignment="1">
      <alignment horizontal="center"/>
    </xf>
    <xf numFmtId="0" fontId="0" fillId="2" borderId="0" xfId="0" applyFill="1" applyAlignment="1">
      <alignment horizontal="center"/>
    </xf>
    <xf numFmtId="0" fontId="2" fillId="5" borderId="1" xfId="3" applyBorder="1" applyAlignment="1">
      <alignment horizontal="center"/>
    </xf>
    <xf numFmtId="0" fontId="2" fillId="5" borderId="1" xfId="3" applyBorder="1" applyAlignment="1">
      <alignment horizontal="center" vertical="top"/>
    </xf>
    <xf numFmtId="0" fontId="4" fillId="4" borderId="1" xfId="2" applyBorder="1" applyAlignment="1">
      <alignment horizontal="center"/>
    </xf>
    <xf numFmtId="164" fontId="6" fillId="8" borderId="1" xfId="0" applyNumberFormat="1" applyFont="1" applyFill="1" applyBorder="1" applyAlignment="1">
      <alignment horizontal="center"/>
    </xf>
    <xf numFmtId="0" fontId="6" fillId="8" borderId="1" xfId="0" applyFont="1" applyFill="1" applyBorder="1" applyAlignment="1">
      <alignment horizontal="center"/>
    </xf>
    <xf numFmtId="2" fontId="6" fillId="8" borderId="1" xfId="0" applyNumberFormat="1" applyFont="1" applyFill="1" applyBorder="1" applyAlignment="1">
      <alignment horizontal="center"/>
    </xf>
    <xf numFmtId="0" fontId="6" fillId="8" borderId="3" xfId="1" applyFont="1" applyFill="1" applyAlignment="1">
      <alignment horizontal="center"/>
    </xf>
    <xf numFmtId="14" fontId="0" fillId="0" borderId="0" xfId="0" applyNumberFormat="1"/>
    <xf numFmtId="165" fontId="6" fillId="8" borderId="1" xfId="0" applyNumberFormat="1" applyFont="1" applyFill="1" applyBorder="1" applyAlignment="1">
      <alignment horizontal="center"/>
    </xf>
    <xf numFmtId="0" fontId="6" fillId="9" borderId="1" xfId="0" applyFont="1" applyFill="1" applyBorder="1" applyAlignment="1">
      <alignment horizontal="center"/>
    </xf>
    <xf numFmtId="0" fontId="2" fillId="0" borderId="1" xfId="4" applyFont="1" applyFill="1" applyBorder="1" applyAlignment="1">
      <alignment horizontal="center"/>
    </xf>
    <xf numFmtId="0" fontId="2" fillId="0" borderId="7" xfId="4" applyFont="1" applyFill="1" applyBorder="1" applyAlignment="1">
      <alignment horizontal="center"/>
    </xf>
    <xf numFmtId="0" fontId="2" fillId="11" borderId="5" xfId="7" applyBorder="1" applyAlignment="1">
      <alignment horizontal="center"/>
    </xf>
    <xf numFmtId="0" fontId="2" fillId="11" borderId="6" xfId="7" applyBorder="1" applyAlignment="1">
      <alignment horizontal="center"/>
    </xf>
    <xf numFmtId="0" fontId="2" fillId="11" borderId="8" xfId="7" applyBorder="1" applyAlignment="1">
      <alignment horizontal="center"/>
    </xf>
    <xf numFmtId="0" fontId="7" fillId="10" borderId="3" xfId="6" applyAlignment="1">
      <alignment horizontal="center"/>
    </xf>
    <xf numFmtId="0" fontId="6" fillId="8" borderId="1" xfId="0" applyNumberFormat="1" applyFont="1" applyFill="1" applyBorder="1" applyAlignment="1">
      <alignment horizontal="left" indent="7"/>
    </xf>
    <xf numFmtId="0" fontId="6" fillId="8" borderId="1" xfId="0" applyFont="1" applyFill="1" applyBorder="1" applyAlignment="1">
      <alignment horizontal="left" indent="3"/>
    </xf>
    <xf numFmtId="0" fontId="6" fillId="8" borderId="1" xfId="0" applyFont="1" applyFill="1" applyBorder="1" applyAlignment="1">
      <alignment horizontal="left" indent="5"/>
    </xf>
    <xf numFmtId="0" fontId="6" fillId="9" borderId="1" xfId="0" applyFont="1" applyFill="1" applyBorder="1" applyAlignment="1">
      <alignment horizontal="left" indent="5"/>
    </xf>
    <xf numFmtId="0" fontId="0" fillId="0" borderId="1" xfId="4" applyFont="1" applyFill="1" applyBorder="1" applyAlignment="1">
      <alignment horizontal="center"/>
    </xf>
    <xf numFmtId="0" fontId="0" fillId="11" borderId="6" xfId="7" applyFont="1" applyBorder="1" applyAlignment="1">
      <alignment horizontal="center"/>
    </xf>
    <xf numFmtId="2" fontId="6" fillId="8" borderId="1" xfId="0" applyNumberFormat="1" applyFont="1" applyFill="1" applyBorder="1" applyAlignment="1">
      <alignment horizontal="left" indent="6"/>
    </xf>
    <xf numFmtId="0" fontId="2" fillId="0" borderId="1" xfId="4" applyFont="1" applyFill="1" applyBorder="1" applyAlignment="1">
      <alignment horizontal="center" vertical="center"/>
    </xf>
    <xf numFmtId="165" fontId="0" fillId="0" borderId="0" xfId="0" applyNumberFormat="1"/>
    <xf numFmtId="0" fontId="0" fillId="0" borderId="9" xfId="5" applyNumberFormat="1" applyFont="1" applyFill="1" applyBorder="1" applyAlignment="1">
      <alignment horizontal="center"/>
    </xf>
    <xf numFmtId="0" fontId="0" fillId="0" borderId="0" xfId="0" applyNumberFormat="1"/>
    <xf numFmtId="0" fontId="0" fillId="0" borderId="0" xfId="0" pivotButton="1" applyAlignment="1">
      <alignment horizontal="center"/>
    </xf>
    <xf numFmtId="0" fontId="8" fillId="12" borderId="1" xfId="0" applyFont="1" applyFill="1" applyBorder="1" applyAlignment="1">
      <alignment horizontal="center"/>
    </xf>
    <xf numFmtId="0" fontId="8" fillId="12" borderId="1" xfId="0" applyFont="1" applyFill="1" applyBorder="1" applyAlignment="1">
      <alignment horizontal="left" indent="5"/>
    </xf>
    <xf numFmtId="14" fontId="6" fillId="8" borderId="1" xfId="0" applyNumberFormat="1" applyFont="1" applyFill="1" applyBorder="1" applyAlignment="1">
      <alignment horizontal="center"/>
    </xf>
    <xf numFmtId="0" fontId="6" fillId="8" borderId="1" xfId="0" applyNumberFormat="1" applyFont="1" applyFill="1" applyBorder="1" applyAlignment="1">
      <alignment horizontal="center"/>
    </xf>
    <xf numFmtId="0" fontId="6" fillId="8" borderId="1" xfId="0" applyNumberFormat="1" applyFont="1" applyFill="1" applyBorder="1" applyAlignment="1">
      <alignment horizontal="left" indent="2"/>
    </xf>
    <xf numFmtId="0" fontId="0" fillId="0" borderId="0" xfId="0" applyAlignment="1">
      <alignment horizontal="center"/>
    </xf>
    <xf numFmtId="0" fontId="0" fillId="5" borderId="1" xfId="3" applyFont="1" applyBorder="1" applyAlignment="1">
      <alignment horizontal="center" vertical="top"/>
    </xf>
    <xf numFmtId="0" fontId="2" fillId="5" borderId="10" xfId="3" applyBorder="1" applyAlignment="1">
      <alignment horizontal="center" vertical="top"/>
    </xf>
    <xf numFmtId="0" fontId="0" fillId="0" borderId="0" xfId="0" applyNumberFormat="1" applyAlignment="1">
      <alignment horizontal="center"/>
    </xf>
    <xf numFmtId="10" fontId="0" fillId="0" borderId="0" xfId="0" applyNumberFormat="1" applyAlignment="1">
      <alignment horizontal="center"/>
    </xf>
    <xf numFmtId="166" fontId="6" fillId="8" borderId="1" xfId="0" applyNumberFormat="1" applyFont="1" applyFill="1" applyBorder="1"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Alignment="1">
      <alignment horizontal="center"/>
    </xf>
    <xf numFmtId="0" fontId="5" fillId="2" borderId="2" xfId="0" applyFont="1" applyFill="1" applyBorder="1" applyAlignment="1">
      <alignment horizontal="center"/>
    </xf>
    <xf numFmtId="0" fontId="5" fillId="2" borderId="4" xfId="0" applyFont="1" applyFill="1" applyBorder="1" applyAlignment="1">
      <alignment horizontal="center"/>
    </xf>
    <xf numFmtId="0" fontId="0" fillId="0" borderId="0" xfId="0" applyAlignment="1">
      <alignment horizontal="center"/>
    </xf>
  </cellXfs>
  <cellStyles count="8">
    <cellStyle name="40% - Accent1" xfId="7" builtinId="31"/>
    <cellStyle name="40% - Accent3" xfId="5" builtinId="39"/>
    <cellStyle name="40% - Accent4" xfId="3" builtinId="43"/>
    <cellStyle name="Accent1" xfId="4" builtinId="29"/>
    <cellStyle name="Accent2" xfId="2" builtinId="33"/>
    <cellStyle name="Calculation" xfId="1" builtinId="22"/>
    <cellStyle name="Input" xfId="6" builtinId="20"/>
    <cellStyle name="Normal" xfId="0" builtinId="0"/>
  </cellStyles>
  <dxfs count="11">
    <dxf>
      <alignment horizontal="center" readingOrder="0"/>
    </dxf>
    <dxf>
      <alignment horizontal="center" readingOrder="0"/>
    </dxf>
    <dxf>
      <alignment horizontal="center" readingOrder="0"/>
    </dxf>
    <dxf>
      <numFmt numFmtId="14" formatCode="0.00%"/>
    </dxf>
    <dxf>
      <alignment horizontal="center" readingOrder="0"/>
    </dxf>
    <dxf>
      <alignment horizontal="center" readingOrder="0"/>
    </dxf>
    <dxf>
      <alignment horizontal="center" readingOrder="0"/>
    </dxf>
    <dxf>
      <alignment horizontal="center" indent="0" readingOrder="0"/>
    </dxf>
    <dxf>
      <alignment horizontal="center" readingOrder="0"/>
    </dxf>
    <dxf>
      <alignment horizontal="center" readingOrder="0"/>
    </dxf>
    <dxf>
      <alignment horizontal="center" readingOrder="0"/>
    </dxf>
  </dxfs>
  <tableStyles count="0" defaultTableStyle="TableStyleMedium9" defaultPivotStyle="PivotStyleLight16"/>
  <colors>
    <mruColors>
      <color rgb="FF0F100A"/>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[random data 2.xlsx]Practice!Randomdata</c:name>
    <c:fmtId val="4"/>
  </c:pivotSource>
  <c:chart>
    <c:title>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
        <c:idx val="12"/>
        <c:marker>
          <c:symbol val="none"/>
        </c:marker>
      </c:pivotFmt>
      <c:pivotFmt>
        <c:idx val="13"/>
        <c:marker>
          <c:symbol val="none"/>
        </c:marker>
      </c:pivotFmt>
      <c:pivotFmt>
        <c:idx val="14"/>
        <c:marker>
          <c:symbol val="none"/>
        </c:marker>
      </c:pivotFmt>
      <c:pivotFmt>
        <c:idx val="15"/>
        <c:marker>
          <c:symbol val="none"/>
        </c:marker>
      </c:pivotFmt>
      <c:pivotFmt>
        <c:idx val="16"/>
        <c:marker>
          <c:symbol val="none"/>
        </c:marker>
      </c:pivotFmt>
      <c:pivotFmt>
        <c:idx val="17"/>
        <c:marker>
          <c:symbol val="none"/>
        </c:marker>
      </c:pivotFmt>
    </c:pivotFmts>
    <c:plotArea>
      <c:layout/>
      <c:lineChart>
        <c:grouping val="standard"/>
        <c:varyColors val="0"/>
        <c:ser>
          <c:idx val="0"/>
          <c:order val="0"/>
          <c:tx>
            <c:strRef>
              <c:f>Practice!$AD$53</c:f>
              <c:strCache>
                <c:ptCount val="1"/>
                <c:pt idx="0">
                  <c:v>Total</c:v>
                </c:pt>
              </c:strCache>
            </c:strRef>
          </c:tx>
          <c:marker>
            <c:symbol val="none"/>
          </c:marker>
          <c:cat>
            <c:strRef>
              <c:f>Practice!$AC$54:$AC$63</c:f>
              <c:strCache>
                <c:ptCount val="10"/>
                <c:pt idx="0">
                  <c:v>Aagman</c:v>
                </c:pt>
                <c:pt idx="1">
                  <c:v>Aman</c:v>
                </c:pt>
                <c:pt idx="2">
                  <c:v>Ayush </c:v>
                </c:pt>
                <c:pt idx="3">
                  <c:v>Naman</c:v>
                </c:pt>
                <c:pt idx="4">
                  <c:v>Naveen </c:v>
                </c:pt>
                <c:pt idx="5">
                  <c:v>Raman</c:v>
                </c:pt>
                <c:pt idx="6">
                  <c:v>Rohit</c:v>
                </c:pt>
                <c:pt idx="7">
                  <c:v>Sharad</c:v>
                </c:pt>
                <c:pt idx="8">
                  <c:v>Shudhanshu</c:v>
                </c:pt>
                <c:pt idx="9">
                  <c:v>Utkarsh </c:v>
                </c:pt>
              </c:strCache>
            </c:strRef>
          </c:cat>
          <c:val>
            <c:numRef>
              <c:f>Practice!$AD$54:$AD$63</c:f>
              <c:numCache>
                <c:formatCode>General</c:formatCode>
                <c:ptCount val="10"/>
                <c:pt idx="0">
                  <c:v>180</c:v>
                </c:pt>
                <c:pt idx="1">
                  <c:v>196</c:v>
                </c:pt>
                <c:pt idx="2">
                  <c:v>232</c:v>
                </c:pt>
                <c:pt idx="3">
                  <c:v>350</c:v>
                </c:pt>
                <c:pt idx="4">
                  <c:v>235</c:v>
                </c:pt>
                <c:pt idx="5">
                  <c:v>184</c:v>
                </c:pt>
                <c:pt idx="6">
                  <c:v>134</c:v>
                </c:pt>
                <c:pt idx="7">
                  <c:v>219</c:v>
                </c:pt>
                <c:pt idx="8">
                  <c:v>181</c:v>
                </c:pt>
                <c:pt idx="9">
                  <c:v>290</c:v>
                </c:pt>
              </c:numCache>
            </c:numRef>
          </c:val>
          <c:smooth val="0"/>
        </c:ser>
        <c:dLbls>
          <c:showLegendKey val="0"/>
          <c:showVal val="0"/>
          <c:showCatName val="0"/>
          <c:showSerName val="0"/>
          <c:showPercent val="0"/>
          <c:showBubbleSize val="0"/>
        </c:dLbls>
        <c:marker val="1"/>
        <c:smooth val="0"/>
        <c:axId val="221283072"/>
        <c:axId val="221284608"/>
      </c:lineChart>
      <c:catAx>
        <c:axId val="221283072"/>
        <c:scaling>
          <c:orientation val="minMax"/>
        </c:scaling>
        <c:delete val="0"/>
        <c:axPos val="b"/>
        <c:majorTickMark val="out"/>
        <c:minorTickMark val="none"/>
        <c:tickLblPos val="nextTo"/>
        <c:crossAx val="221284608"/>
        <c:crosses val="autoZero"/>
        <c:auto val="1"/>
        <c:lblAlgn val="ctr"/>
        <c:lblOffset val="100"/>
        <c:noMultiLvlLbl val="0"/>
      </c:catAx>
      <c:valAx>
        <c:axId val="221284608"/>
        <c:scaling>
          <c:orientation val="minMax"/>
        </c:scaling>
        <c:delete val="0"/>
        <c:axPos val="l"/>
        <c:majorGridlines/>
        <c:numFmt formatCode="General" sourceLinked="1"/>
        <c:majorTickMark val="out"/>
        <c:minorTickMark val="none"/>
        <c:tickLblPos val="nextTo"/>
        <c:crossAx val="22128307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manualLayout>
          <c:layoutTarget val="inner"/>
          <c:xMode val="edge"/>
          <c:yMode val="edge"/>
          <c:x val="0.25380455066872909"/>
          <c:y val="0.2460392458314376"/>
          <c:w val="0.62013670166229218"/>
          <c:h val="0.62771174873697899"/>
        </c:manualLayout>
      </c:layout>
      <c:barChart>
        <c:barDir val="bar"/>
        <c:grouping val="clustered"/>
        <c:varyColors val="0"/>
        <c:ser>
          <c:idx val="0"/>
          <c:order val="0"/>
          <c:invertIfNegative val="0"/>
          <c:dPt>
            <c:idx val="1"/>
            <c:invertIfNegative val="0"/>
            <c:bubble3D val="0"/>
            <c:spPr>
              <a:solidFill>
                <a:schemeClr val="accent6">
                  <a:lumMod val="40000"/>
                  <a:lumOff val="60000"/>
                </a:schemeClr>
              </a:solidFill>
            </c:spPr>
          </c:dPt>
          <c:cat>
            <c:strRef>
              <c:f>Practice!$AD$40:$AD$49</c:f>
              <c:strCache>
                <c:ptCount val="10"/>
                <c:pt idx="0">
                  <c:v>Aman</c:v>
                </c:pt>
                <c:pt idx="1">
                  <c:v>Naman</c:v>
                </c:pt>
                <c:pt idx="2">
                  <c:v>Aagman</c:v>
                </c:pt>
                <c:pt idx="3">
                  <c:v>Sharad</c:v>
                </c:pt>
                <c:pt idx="4">
                  <c:v>Raman</c:v>
                </c:pt>
                <c:pt idx="5">
                  <c:v>Ayush </c:v>
                </c:pt>
                <c:pt idx="6">
                  <c:v>Utkarsh </c:v>
                </c:pt>
                <c:pt idx="7">
                  <c:v>Naveen </c:v>
                </c:pt>
                <c:pt idx="8">
                  <c:v>Rohit</c:v>
                </c:pt>
                <c:pt idx="9">
                  <c:v>Shudhanshu</c:v>
                </c:pt>
              </c:strCache>
            </c:strRef>
          </c:cat>
          <c:val>
            <c:numRef>
              <c:f>Practice!$AE$40:$AE$49</c:f>
              <c:numCache>
                <c:formatCode>General</c:formatCode>
                <c:ptCount val="10"/>
                <c:pt idx="0">
                  <c:v>196</c:v>
                </c:pt>
                <c:pt idx="1">
                  <c:v>350</c:v>
                </c:pt>
                <c:pt idx="2">
                  <c:v>180</c:v>
                </c:pt>
                <c:pt idx="3">
                  <c:v>219</c:v>
                </c:pt>
                <c:pt idx="4">
                  <c:v>184</c:v>
                </c:pt>
                <c:pt idx="5">
                  <c:v>232</c:v>
                </c:pt>
                <c:pt idx="6">
                  <c:v>290</c:v>
                </c:pt>
                <c:pt idx="7">
                  <c:v>235</c:v>
                </c:pt>
                <c:pt idx="8">
                  <c:v>134</c:v>
                </c:pt>
                <c:pt idx="9">
                  <c:v>181</c:v>
                </c:pt>
              </c:numCache>
            </c:numRef>
          </c:val>
        </c:ser>
        <c:dLbls>
          <c:dLblPos val="outEnd"/>
          <c:showLegendKey val="0"/>
          <c:showVal val="1"/>
          <c:showCatName val="0"/>
          <c:showSerName val="0"/>
          <c:showPercent val="0"/>
          <c:showBubbleSize val="0"/>
        </c:dLbls>
        <c:gapWidth val="150"/>
        <c:axId val="221293952"/>
        <c:axId val="221312128"/>
      </c:barChart>
      <c:catAx>
        <c:axId val="221293952"/>
        <c:scaling>
          <c:orientation val="minMax"/>
        </c:scaling>
        <c:delete val="0"/>
        <c:axPos val="l"/>
        <c:majorTickMark val="out"/>
        <c:minorTickMark val="none"/>
        <c:tickLblPos val="nextTo"/>
        <c:spPr>
          <a:solidFill>
            <a:schemeClr val="bg2"/>
          </a:solidFill>
        </c:spPr>
        <c:txPr>
          <a:bodyPr/>
          <a:lstStyle/>
          <a:p>
            <a:pPr>
              <a:defRPr>
                <a:solidFill>
                  <a:schemeClr val="tx1">
                    <a:lumMod val="95000"/>
                    <a:lumOff val="5000"/>
                  </a:schemeClr>
                </a:solidFill>
              </a:defRPr>
            </a:pPr>
            <a:endParaRPr lang="en-US"/>
          </a:p>
        </c:txPr>
        <c:crossAx val="221312128"/>
        <c:crosses val="autoZero"/>
        <c:auto val="1"/>
        <c:lblAlgn val="ctr"/>
        <c:lblOffset val="100"/>
        <c:noMultiLvlLbl val="0"/>
      </c:catAx>
      <c:valAx>
        <c:axId val="221312128"/>
        <c:scaling>
          <c:orientation val="minMax"/>
        </c:scaling>
        <c:delete val="0"/>
        <c:axPos val="b"/>
        <c:title>
          <c:tx>
            <c:rich>
              <a:bodyPr/>
              <a:lstStyle/>
              <a:p>
                <a:pPr>
                  <a:defRPr/>
                </a:pPr>
                <a:r>
                  <a:rPr lang="en-IN"/>
                  <a:t>Marks</a:t>
                </a:r>
                <a:r>
                  <a:rPr lang="en-IN" baseline="0"/>
                  <a:t> Chart</a:t>
                </a:r>
                <a:endParaRPr lang="en-IN"/>
              </a:p>
            </c:rich>
          </c:tx>
          <c:layout>
            <c:manualLayout>
              <c:xMode val="edge"/>
              <c:yMode val="edge"/>
              <c:x val="0.4803314404050873"/>
              <c:y val="0.1252029566443639"/>
            </c:manualLayout>
          </c:layout>
          <c:overlay val="0"/>
        </c:title>
        <c:numFmt formatCode="General" sourceLinked="1"/>
        <c:majorTickMark val="out"/>
        <c:minorTickMark val="none"/>
        <c:tickLblPos val="nextTo"/>
        <c:crossAx val="221293952"/>
        <c:crosses val="autoZero"/>
        <c:crossBetween val="between"/>
      </c:valAx>
    </c:plotArea>
    <c:plotVisOnly val="1"/>
    <c:dispBlanksAs val="gap"/>
    <c:showDLblsOverMax val="0"/>
  </c:chart>
  <c:txPr>
    <a:bodyPr/>
    <a:lstStyle/>
    <a:p>
      <a:pPr>
        <a:defRPr baseline="0">
          <a:solidFill>
            <a:srgbClr val="C00000"/>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[random data 2.xlsx]kpi!Netregionprofit</c:name>
    <c:fmtId val="7"/>
  </c:pivotSource>
  <c:chart>
    <c:title>
      <c:tx>
        <c:rich>
          <a:bodyPr/>
          <a:lstStyle/>
          <a:p>
            <a:pPr>
              <a:defRPr/>
            </a:pPr>
            <a:r>
              <a:rPr lang="en-IN"/>
              <a:t>Total</a:t>
            </a:r>
            <a:r>
              <a:rPr lang="en-IN" baseline="0"/>
              <a:t> Sales vs Total Profit</a:t>
            </a:r>
            <a:endParaRPr lang="en-IN"/>
          </a:p>
        </c:rich>
      </c:tx>
      <c:layout>
        <c:manualLayout>
          <c:xMode val="edge"/>
          <c:yMode val="edge"/>
          <c:x val="0.26032633420822399"/>
          <c:y val="0.11009040536599592"/>
        </c:manualLayout>
      </c:layout>
      <c:overlay val="0"/>
      <c:spPr>
        <a:solidFill>
          <a:schemeClr val="accent3">
            <a:lumMod val="20000"/>
            <a:lumOff val="80000"/>
          </a:schemeClr>
        </a:solidFill>
      </c:spPr>
    </c:title>
    <c:autoTitleDeleted val="0"/>
    <c:pivotFmts>
      <c:pivotFmt>
        <c:idx val="0"/>
        <c:spPr>
          <a:solidFill>
            <a:schemeClr val="tx1">
              <a:lumMod val="50000"/>
              <a:lumOff val="50000"/>
            </a:schemeClr>
          </a:solidFill>
        </c:spPr>
        <c:marker>
          <c:symbol val="none"/>
        </c:marker>
      </c:pivotFmt>
      <c:pivotFmt>
        <c:idx val="1"/>
        <c:spPr>
          <a:solidFill>
            <a:schemeClr val="accent3">
              <a:lumMod val="60000"/>
              <a:lumOff val="40000"/>
            </a:schemeClr>
          </a:solidFill>
        </c:spPr>
        <c:marker>
          <c:symbol val="none"/>
        </c:marker>
      </c:pivotFmt>
    </c:pivotFmts>
    <c:plotArea>
      <c:layout>
        <c:manualLayout>
          <c:layoutTarget val="inner"/>
          <c:xMode val="edge"/>
          <c:yMode val="edge"/>
          <c:x val="0.11423840769903762"/>
          <c:y val="0.27248651210265384"/>
          <c:w val="0.85520603674540685"/>
          <c:h val="0.50607283464566932"/>
        </c:manualLayout>
      </c:layout>
      <c:barChart>
        <c:barDir val="col"/>
        <c:grouping val="clustered"/>
        <c:varyColors val="0"/>
        <c:ser>
          <c:idx val="0"/>
          <c:order val="0"/>
          <c:tx>
            <c:strRef>
              <c:f>kpi!$B$16</c:f>
              <c:strCache>
                <c:ptCount val="1"/>
                <c:pt idx="0">
                  <c:v>Sum of Net Sales </c:v>
                </c:pt>
              </c:strCache>
            </c:strRef>
          </c:tx>
          <c:spPr>
            <a:solidFill>
              <a:schemeClr val="tx1">
                <a:lumMod val="50000"/>
                <a:lumOff val="50000"/>
              </a:schemeClr>
            </a:solidFill>
          </c:spPr>
          <c:invertIfNegative val="0"/>
          <c:cat>
            <c:strRef>
              <c:f>kpi!$A$17:$A$22</c:f>
              <c:strCache>
                <c:ptCount val="5"/>
                <c:pt idx="0">
                  <c:v>Central</c:v>
                </c:pt>
                <c:pt idx="1">
                  <c:v>East</c:v>
                </c:pt>
                <c:pt idx="2">
                  <c:v>North</c:v>
                </c:pt>
                <c:pt idx="3">
                  <c:v>South</c:v>
                </c:pt>
                <c:pt idx="4">
                  <c:v>West</c:v>
                </c:pt>
              </c:strCache>
            </c:strRef>
          </c:cat>
          <c:val>
            <c:numRef>
              <c:f>kpi!$B$17:$B$22</c:f>
              <c:numCache>
                <c:formatCode>General</c:formatCode>
                <c:ptCount val="5"/>
                <c:pt idx="0">
                  <c:v>60357.217499999999</c:v>
                </c:pt>
                <c:pt idx="1">
                  <c:v>53515.164999999986</c:v>
                </c:pt>
                <c:pt idx="2">
                  <c:v>50428.544999999991</c:v>
                </c:pt>
                <c:pt idx="3">
                  <c:v>59673.343499999995</c:v>
                </c:pt>
                <c:pt idx="4">
                  <c:v>31764.162</c:v>
                </c:pt>
              </c:numCache>
            </c:numRef>
          </c:val>
        </c:ser>
        <c:ser>
          <c:idx val="1"/>
          <c:order val="1"/>
          <c:tx>
            <c:strRef>
              <c:f>kpi!$C$16</c:f>
              <c:strCache>
                <c:ptCount val="1"/>
                <c:pt idx="0">
                  <c:v>Sum of Profit</c:v>
                </c:pt>
              </c:strCache>
            </c:strRef>
          </c:tx>
          <c:spPr>
            <a:solidFill>
              <a:schemeClr val="accent3">
                <a:lumMod val="60000"/>
                <a:lumOff val="40000"/>
              </a:schemeClr>
            </a:solidFill>
          </c:spPr>
          <c:invertIfNegative val="0"/>
          <c:cat>
            <c:strRef>
              <c:f>kpi!$A$17:$A$22</c:f>
              <c:strCache>
                <c:ptCount val="5"/>
                <c:pt idx="0">
                  <c:v>Central</c:v>
                </c:pt>
                <c:pt idx="1">
                  <c:v>East</c:v>
                </c:pt>
                <c:pt idx="2">
                  <c:v>North</c:v>
                </c:pt>
                <c:pt idx="3">
                  <c:v>South</c:v>
                </c:pt>
                <c:pt idx="4">
                  <c:v>West</c:v>
                </c:pt>
              </c:strCache>
            </c:strRef>
          </c:cat>
          <c:val>
            <c:numRef>
              <c:f>kpi!$C$17:$C$22</c:f>
              <c:numCache>
                <c:formatCode>General</c:formatCode>
                <c:ptCount val="5"/>
                <c:pt idx="0">
                  <c:v>16477</c:v>
                </c:pt>
                <c:pt idx="1">
                  <c:v>10332</c:v>
                </c:pt>
                <c:pt idx="2">
                  <c:v>10476</c:v>
                </c:pt>
                <c:pt idx="3">
                  <c:v>14275</c:v>
                </c:pt>
                <c:pt idx="4">
                  <c:v>10594</c:v>
                </c:pt>
              </c:numCache>
            </c:numRef>
          </c:val>
        </c:ser>
        <c:dLbls>
          <c:showLegendKey val="0"/>
          <c:showVal val="0"/>
          <c:showCatName val="0"/>
          <c:showSerName val="0"/>
          <c:showPercent val="0"/>
          <c:showBubbleSize val="0"/>
        </c:dLbls>
        <c:gapWidth val="150"/>
        <c:axId val="221490560"/>
        <c:axId val="221496448"/>
      </c:barChart>
      <c:catAx>
        <c:axId val="221490560"/>
        <c:scaling>
          <c:orientation val="minMax"/>
        </c:scaling>
        <c:delete val="0"/>
        <c:axPos val="b"/>
        <c:majorTickMark val="out"/>
        <c:minorTickMark val="none"/>
        <c:tickLblPos val="nextTo"/>
        <c:txPr>
          <a:bodyPr/>
          <a:lstStyle/>
          <a:p>
            <a:pPr>
              <a:defRPr b="1"/>
            </a:pPr>
            <a:endParaRPr lang="en-US"/>
          </a:p>
        </c:txPr>
        <c:crossAx val="221496448"/>
        <c:crosses val="autoZero"/>
        <c:auto val="1"/>
        <c:lblAlgn val="ctr"/>
        <c:lblOffset val="100"/>
        <c:noMultiLvlLbl val="0"/>
      </c:catAx>
      <c:valAx>
        <c:axId val="221496448"/>
        <c:scaling>
          <c:orientation val="minMax"/>
        </c:scaling>
        <c:delete val="0"/>
        <c:axPos val="l"/>
        <c:numFmt formatCode="General" sourceLinked="1"/>
        <c:majorTickMark val="out"/>
        <c:minorTickMark val="none"/>
        <c:tickLblPos val="nextTo"/>
        <c:txPr>
          <a:bodyPr/>
          <a:lstStyle/>
          <a:p>
            <a:pPr>
              <a:defRPr b="1"/>
            </a:pPr>
            <a:endParaRPr lang="en-US"/>
          </a:p>
        </c:txPr>
        <c:crossAx val="22149056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[random data 2.xlsx]kpi!paymentmethod</c:name>
    <c:fmtId val="1"/>
  </c:pivotSource>
  <c:chart>
    <c:title>
      <c:tx>
        <c:rich>
          <a:bodyPr/>
          <a:lstStyle/>
          <a:p>
            <a:pPr>
              <a:defRPr>
                <a:solidFill>
                  <a:schemeClr val="accent2">
                    <a:lumMod val="50000"/>
                  </a:schemeClr>
                </a:solidFill>
              </a:defRPr>
            </a:pPr>
            <a:r>
              <a:rPr lang="en-US">
                <a:solidFill>
                  <a:schemeClr val="accent2">
                    <a:lumMod val="50000"/>
                  </a:schemeClr>
                </a:solidFill>
              </a:rPr>
              <a:t>Payment</a:t>
            </a:r>
            <a:r>
              <a:rPr lang="en-US" baseline="0">
                <a:solidFill>
                  <a:schemeClr val="accent2">
                    <a:lumMod val="50000"/>
                  </a:schemeClr>
                </a:solidFill>
              </a:rPr>
              <a:t> Mode</a:t>
            </a:r>
            <a:endParaRPr lang="en-US">
              <a:solidFill>
                <a:schemeClr val="accent2">
                  <a:lumMod val="50000"/>
                </a:schemeClr>
              </a:solidFill>
            </a:endParaRPr>
          </a:p>
        </c:rich>
      </c:tx>
      <c:layout>
        <c:manualLayout>
          <c:xMode val="edge"/>
          <c:yMode val="edge"/>
          <c:x val="0.25538518144147854"/>
          <c:y val="3.7107744288581067E-2"/>
        </c:manualLayout>
      </c:layout>
      <c:overlay val="0"/>
      <c:spPr>
        <a:solidFill>
          <a:schemeClr val="accent1">
            <a:lumMod val="20000"/>
            <a:lumOff val="80000"/>
          </a:schemeClr>
        </a:solidFill>
      </c:spPr>
    </c:title>
    <c:autoTitleDeleted val="0"/>
    <c:pivotFmts>
      <c:pivotFmt>
        <c:idx val="0"/>
        <c:marker>
          <c:symbol val="none"/>
        </c:marker>
      </c:pivotFmt>
    </c:pivotFmts>
    <c:plotArea>
      <c:layout/>
      <c:pieChart>
        <c:varyColors val="1"/>
        <c:ser>
          <c:idx val="0"/>
          <c:order val="0"/>
          <c:tx>
            <c:strRef>
              <c:f>kpi!$G$16</c:f>
              <c:strCache>
                <c:ptCount val="1"/>
                <c:pt idx="0">
                  <c:v>Total</c:v>
                </c:pt>
              </c:strCache>
            </c:strRef>
          </c:tx>
          <c:cat>
            <c:strRef>
              <c:f>kpi!$F$17:$F$22</c:f>
              <c:strCache>
                <c:ptCount val="5"/>
                <c:pt idx="0">
                  <c:v>Cash</c:v>
                </c:pt>
                <c:pt idx="1">
                  <c:v>Credit Card</c:v>
                </c:pt>
                <c:pt idx="2">
                  <c:v>Debit Card</c:v>
                </c:pt>
                <c:pt idx="3">
                  <c:v>Gift Card</c:v>
                </c:pt>
                <c:pt idx="4">
                  <c:v>Online</c:v>
                </c:pt>
              </c:strCache>
            </c:strRef>
          </c:cat>
          <c:val>
            <c:numRef>
              <c:f>kpi!$G$17:$G$22</c:f>
              <c:numCache>
                <c:formatCode>General</c:formatCode>
                <c:ptCount val="5"/>
                <c:pt idx="0">
                  <c:v>19720.548999999999</c:v>
                </c:pt>
                <c:pt idx="1">
                  <c:v>34346.32</c:v>
                </c:pt>
                <c:pt idx="2">
                  <c:v>17684.913499999999</c:v>
                </c:pt>
                <c:pt idx="3">
                  <c:v>105831.5975</c:v>
                </c:pt>
                <c:pt idx="4">
                  <c:v>78155.053000000014</c:v>
                </c:pt>
              </c:numCache>
            </c:numRef>
          </c:val>
        </c:ser>
        <c:dLbls>
          <c:showLegendKey val="0"/>
          <c:showVal val="0"/>
          <c:showCatName val="0"/>
          <c:showSerName val="0"/>
          <c:showPercent val="0"/>
          <c:showBubbleSize val="0"/>
          <c:showLeaderLines val="1"/>
        </c:dLbls>
        <c:firstSliceAng val="0"/>
      </c:pieChart>
    </c:plotArea>
    <c:legend>
      <c:legendPos val="r"/>
      <c:layout>
        <c:manualLayout>
          <c:xMode val="edge"/>
          <c:yMode val="edge"/>
          <c:x val="0.69748114785341797"/>
          <c:y val="0.37111763042264145"/>
          <c:w val="0.18661520704410275"/>
          <c:h val="0.48996136665014911"/>
        </c:manualLayout>
      </c:layout>
      <c:overlay val="0"/>
      <c:txPr>
        <a:bodyPr/>
        <a:lstStyle/>
        <a:p>
          <a:pPr>
            <a:defRPr b="1"/>
          </a:pPr>
          <a:endParaRPr lang="en-US"/>
        </a:p>
      </c:txPr>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[random data 2.xlsx]kpi!Citywiseprofit</c:name>
    <c:fmtId val="6"/>
  </c:pivotSource>
  <c:chart>
    <c:title>
      <c:tx>
        <c:rich>
          <a:bodyPr/>
          <a:lstStyle/>
          <a:p>
            <a:pPr>
              <a:defRPr sz="1400"/>
            </a:pPr>
            <a:r>
              <a:rPr lang="en-IN" sz="1400"/>
              <a:t>Sales</a:t>
            </a:r>
            <a:r>
              <a:rPr lang="en-IN" sz="1400" baseline="0"/>
              <a:t> vs Shipping Cost</a:t>
            </a:r>
            <a:endParaRPr lang="en-IN" sz="1400"/>
          </a:p>
        </c:rich>
      </c:tx>
      <c:layout>
        <c:manualLayout>
          <c:xMode val="edge"/>
          <c:yMode val="edge"/>
          <c:x val="0.37311419541942442"/>
          <c:y val="0.12062554680664916"/>
        </c:manualLayout>
      </c:layout>
      <c:overlay val="0"/>
      <c:spPr>
        <a:solidFill>
          <a:schemeClr val="bg1">
            <a:lumMod val="85000"/>
          </a:schemeClr>
        </a:solidFill>
      </c:spPr>
    </c:title>
    <c:autoTitleDeleted val="0"/>
    <c:pivotFmts>
      <c:pivotFmt>
        <c:idx val="0"/>
        <c:spPr>
          <a:solidFill>
            <a:schemeClr val="tx1">
              <a:lumMod val="95000"/>
              <a:lumOff val="5000"/>
            </a:schemeClr>
          </a:solidFill>
        </c:spPr>
        <c:marker>
          <c:symbol val="none"/>
        </c:marker>
      </c:pivotFmt>
      <c:pivotFmt>
        <c:idx val="1"/>
        <c:spPr>
          <a:solidFill>
            <a:schemeClr val="accent6">
              <a:lumMod val="60000"/>
              <a:lumOff val="40000"/>
            </a:schemeClr>
          </a:solidFill>
        </c:spPr>
        <c:marker>
          <c:symbol val="none"/>
        </c:marker>
      </c:pivotFmt>
    </c:pivotFmts>
    <c:view3D>
      <c:rotX val="15"/>
      <c:rotY val="20"/>
      <c:rAngAx val="1"/>
    </c:view3D>
    <c:floor>
      <c:thickness val="0"/>
    </c:floor>
    <c:sideWall>
      <c:thickness val="0"/>
    </c:sideWall>
    <c:backWall>
      <c:thickness val="0"/>
    </c:backWall>
    <c:plotArea>
      <c:layout>
        <c:manualLayout>
          <c:layoutTarget val="inner"/>
          <c:xMode val="edge"/>
          <c:yMode val="edge"/>
          <c:x val="0.30575441237990353"/>
          <c:y val="0.21194298233219752"/>
          <c:w val="0.52885699513631679"/>
          <c:h val="0.53942125639359084"/>
        </c:manualLayout>
      </c:layout>
      <c:bar3DChart>
        <c:barDir val="col"/>
        <c:grouping val="clustered"/>
        <c:varyColors val="0"/>
        <c:ser>
          <c:idx val="0"/>
          <c:order val="0"/>
          <c:tx>
            <c:strRef>
              <c:f>kpi!$J$16</c:f>
              <c:strCache>
                <c:ptCount val="1"/>
                <c:pt idx="0">
                  <c:v>Sum of Net Sales </c:v>
                </c:pt>
              </c:strCache>
            </c:strRef>
          </c:tx>
          <c:spPr>
            <a:solidFill>
              <a:schemeClr val="tx1">
                <a:lumMod val="95000"/>
                <a:lumOff val="5000"/>
              </a:schemeClr>
            </a:solidFill>
          </c:spPr>
          <c:invertIfNegative val="0"/>
          <c:cat>
            <c:strRef>
              <c:f>kpi!$I$17:$I$22</c:f>
              <c:strCache>
                <c:ptCount val="5"/>
                <c:pt idx="0">
                  <c:v>Bihar</c:v>
                </c:pt>
                <c:pt idx="1">
                  <c:v>Gonda</c:v>
                </c:pt>
                <c:pt idx="2">
                  <c:v>Kanpur</c:v>
                </c:pt>
                <c:pt idx="3">
                  <c:v>Lucknow</c:v>
                </c:pt>
                <c:pt idx="4">
                  <c:v>Mumbai</c:v>
                </c:pt>
              </c:strCache>
            </c:strRef>
          </c:cat>
          <c:val>
            <c:numRef>
              <c:f>kpi!$J$17:$J$22</c:f>
              <c:numCache>
                <c:formatCode>General</c:formatCode>
                <c:ptCount val="5"/>
                <c:pt idx="0">
                  <c:v>51027.070499999994</c:v>
                </c:pt>
                <c:pt idx="1">
                  <c:v>99772.376999999993</c:v>
                </c:pt>
                <c:pt idx="2">
                  <c:v>48001.408500000005</c:v>
                </c:pt>
                <c:pt idx="3">
                  <c:v>22432.125</c:v>
                </c:pt>
                <c:pt idx="4">
                  <c:v>34505.451999999997</c:v>
                </c:pt>
              </c:numCache>
            </c:numRef>
          </c:val>
        </c:ser>
        <c:ser>
          <c:idx val="1"/>
          <c:order val="1"/>
          <c:tx>
            <c:strRef>
              <c:f>kpi!$K$16</c:f>
              <c:strCache>
                <c:ptCount val="1"/>
                <c:pt idx="0">
                  <c:v>Sum of ShippingCost</c:v>
                </c:pt>
              </c:strCache>
            </c:strRef>
          </c:tx>
          <c:spPr>
            <a:solidFill>
              <a:schemeClr val="accent6">
                <a:lumMod val="60000"/>
                <a:lumOff val="40000"/>
              </a:schemeClr>
            </a:solidFill>
          </c:spPr>
          <c:invertIfNegative val="0"/>
          <c:cat>
            <c:strRef>
              <c:f>kpi!$I$17:$I$22</c:f>
              <c:strCache>
                <c:ptCount val="5"/>
                <c:pt idx="0">
                  <c:v>Bihar</c:v>
                </c:pt>
                <c:pt idx="1">
                  <c:v>Gonda</c:v>
                </c:pt>
                <c:pt idx="2">
                  <c:v>Kanpur</c:v>
                </c:pt>
                <c:pt idx="3">
                  <c:v>Lucknow</c:v>
                </c:pt>
                <c:pt idx="4">
                  <c:v>Mumbai</c:v>
                </c:pt>
              </c:strCache>
            </c:strRef>
          </c:cat>
          <c:val>
            <c:numRef>
              <c:f>kpi!$K$17:$K$22</c:f>
              <c:numCache>
                <c:formatCode>General</c:formatCode>
                <c:ptCount val="5"/>
                <c:pt idx="0">
                  <c:v>717111</c:v>
                </c:pt>
                <c:pt idx="1">
                  <c:v>1063977</c:v>
                </c:pt>
                <c:pt idx="2">
                  <c:v>147266</c:v>
                </c:pt>
                <c:pt idx="3">
                  <c:v>61241</c:v>
                </c:pt>
                <c:pt idx="4">
                  <c:v>44858</c:v>
                </c:pt>
              </c:numCache>
            </c:numRef>
          </c:val>
        </c:ser>
        <c:dLbls>
          <c:showLegendKey val="0"/>
          <c:showVal val="0"/>
          <c:showCatName val="0"/>
          <c:showSerName val="0"/>
          <c:showPercent val="0"/>
          <c:showBubbleSize val="0"/>
        </c:dLbls>
        <c:gapWidth val="150"/>
        <c:shape val="cone"/>
        <c:axId val="221559808"/>
        <c:axId val="221573888"/>
        <c:axId val="0"/>
      </c:bar3DChart>
      <c:catAx>
        <c:axId val="221559808"/>
        <c:scaling>
          <c:orientation val="minMax"/>
        </c:scaling>
        <c:delete val="0"/>
        <c:axPos val="b"/>
        <c:majorTickMark val="out"/>
        <c:minorTickMark val="none"/>
        <c:tickLblPos val="nextTo"/>
        <c:txPr>
          <a:bodyPr/>
          <a:lstStyle/>
          <a:p>
            <a:pPr>
              <a:defRPr b="1"/>
            </a:pPr>
            <a:endParaRPr lang="en-US"/>
          </a:p>
        </c:txPr>
        <c:crossAx val="221573888"/>
        <c:crosses val="autoZero"/>
        <c:auto val="1"/>
        <c:lblAlgn val="ctr"/>
        <c:lblOffset val="100"/>
        <c:noMultiLvlLbl val="0"/>
      </c:catAx>
      <c:valAx>
        <c:axId val="221573888"/>
        <c:scaling>
          <c:orientation val="minMax"/>
        </c:scaling>
        <c:delete val="0"/>
        <c:axPos val="l"/>
        <c:numFmt formatCode="General" sourceLinked="1"/>
        <c:majorTickMark val="out"/>
        <c:minorTickMark val="none"/>
        <c:tickLblPos val="nextTo"/>
        <c:txPr>
          <a:bodyPr/>
          <a:lstStyle/>
          <a:p>
            <a:pPr>
              <a:defRPr b="1"/>
            </a:pPr>
            <a:endParaRPr lang="en-US"/>
          </a:p>
        </c:txPr>
        <c:crossAx val="22155980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[random data 2.xlsx]kpi!productnetsales</c:name>
    <c:fmtId val="0"/>
  </c:pivotSource>
  <c:chart>
    <c:title>
      <c:tx>
        <c:rich>
          <a:bodyPr/>
          <a:lstStyle/>
          <a:p>
            <a:pPr>
              <a:defRPr/>
            </a:pPr>
            <a:r>
              <a:rPr lang="en-US"/>
              <a:t>Products</a:t>
            </a:r>
          </a:p>
        </c:rich>
      </c:tx>
      <c:layout>
        <c:manualLayout>
          <c:xMode val="edge"/>
          <c:yMode val="edge"/>
          <c:x val="0.44674904312063834"/>
          <c:y val="5.7832459103433743E-2"/>
        </c:manualLayout>
      </c:layout>
      <c:overlay val="0"/>
      <c:spPr>
        <a:solidFill>
          <a:schemeClr val="accent1">
            <a:lumMod val="20000"/>
            <a:lumOff val="80000"/>
          </a:schemeClr>
        </a:solidFill>
      </c:spPr>
    </c:title>
    <c:autoTitleDeleted val="0"/>
    <c:pivotFmts>
      <c:pivotFmt>
        <c:idx val="0"/>
        <c:spPr>
          <a:solidFill>
            <a:schemeClr val="accent4">
              <a:lumMod val="60000"/>
              <a:lumOff val="40000"/>
            </a:schemeClr>
          </a:solidFill>
        </c:spPr>
        <c:marker>
          <c:symbol val="none"/>
        </c:marker>
      </c:pivotFmt>
      <c:pivotFmt>
        <c:idx val="1"/>
        <c:marker>
          <c:symbol val="none"/>
        </c:marker>
      </c:pivotFmt>
      <c:pivotFmt>
        <c:idx val="2"/>
        <c:marker>
          <c:symbol val="none"/>
        </c:marker>
      </c:pivotFmt>
      <c:pivotFmt>
        <c:idx val="3"/>
        <c:marker>
          <c:symbol val="none"/>
        </c:marker>
      </c:pivotFmt>
    </c:pivotFmts>
    <c:plotArea>
      <c:layout/>
      <c:barChart>
        <c:barDir val="bar"/>
        <c:grouping val="clustered"/>
        <c:varyColors val="0"/>
        <c:ser>
          <c:idx val="0"/>
          <c:order val="0"/>
          <c:tx>
            <c:strRef>
              <c:f>kpi!$O$14</c:f>
              <c:strCache>
                <c:ptCount val="1"/>
                <c:pt idx="0">
                  <c:v>Total</c:v>
                </c:pt>
              </c:strCache>
            </c:strRef>
          </c:tx>
          <c:spPr>
            <a:solidFill>
              <a:schemeClr val="accent4">
                <a:lumMod val="60000"/>
                <a:lumOff val="40000"/>
              </a:schemeClr>
            </a:solidFill>
          </c:spPr>
          <c:invertIfNegative val="0"/>
          <c:cat>
            <c:strRef>
              <c:f>kpi!$N$15:$N$22</c:f>
              <c:strCache>
                <c:ptCount val="7"/>
                <c:pt idx="0">
                  <c:v>Chair</c:v>
                </c:pt>
                <c:pt idx="1">
                  <c:v>Desk</c:v>
                </c:pt>
                <c:pt idx="2">
                  <c:v>Laptop</c:v>
                </c:pt>
                <c:pt idx="3">
                  <c:v>Monitor</c:v>
                </c:pt>
                <c:pt idx="4">
                  <c:v>Phone</c:v>
                </c:pt>
                <c:pt idx="5">
                  <c:v>Printer</c:v>
                </c:pt>
                <c:pt idx="6">
                  <c:v>Tablet</c:v>
                </c:pt>
              </c:strCache>
            </c:strRef>
          </c:cat>
          <c:val>
            <c:numRef>
              <c:f>kpi!$O$15:$O$22</c:f>
              <c:numCache>
                <c:formatCode>General</c:formatCode>
                <c:ptCount val="7"/>
                <c:pt idx="0">
                  <c:v>84589.205000000002</c:v>
                </c:pt>
                <c:pt idx="1">
                  <c:v>35548.142999999996</c:v>
                </c:pt>
                <c:pt idx="2">
                  <c:v>32596.785499999998</c:v>
                </c:pt>
                <c:pt idx="3">
                  <c:v>23649.673000000003</c:v>
                </c:pt>
                <c:pt idx="4">
                  <c:v>39395.702999999994</c:v>
                </c:pt>
                <c:pt idx="5">
                  <c:v>7115.1880000000001</c:v>
                </c:pt>
                <c:pt idx="6">
                  <c:v>32843.735500000003</c:v>
                </c:pt>
              </c:numCache>
            </c:numRef>
          </c:val>
        </c:ser>
        <c:dLbls>
          <c:showLegendKey val="0"/>
          <c:showVal val="0"/>
          <c:showCatName val="0"/>
          <c:showSerName val="0"/>
          <c:showPercent val="0"/>
          <c:showBubbleSize val="0"/>
        </c:dLbls>
        <c:gapWidth val="150"/>
        <c:axId val="222176000"/>
        <c:axId val="222177536"/>
      </c:barChart>
      <c:catAx>
        <c:axId val="222176000"/>
        <c:scaling>
          <c:orientation val="minMax"/>
        </c:scaling>
        <c:delete val="0"/>
        <c:axPos val="l"/>
        <c:majorTickMark val="out"/>
        <c:minorTickMark val="none"/>
        <c:tickLblPos val="nextTo"/>
        <c:txPr>
          <a:bodyPr/>
          <a:lstStyle/>
          <a:p>
            <a:pPr>
              <a:defRPr b="1"/>
            </a:pPr>
            <a:endParaRPr lang="en-US"/>
          </a:p>
        </c:txPr>
        <c:crossAx val="222177536"/>
        <c:crosses val="autoZero"/>
        <c:auto val="1"/>
        <c:lblAlgn val="ctr"/>
        <c:lblOffset val="100"/>
        <c:noMultiLvlLbl val="0"/>
      </c:catAx>
      <c:valAx>
        <c:axId val="222177536"/>
        <c:scaling>
          <c:orientation val="minMax"/>
        </c:scaling>
        <c:delete val="0"/>
        <c:axPos val="b"/>
        <c:numFmt formatCode="General" sourceLinked="1"/>
        <c:majorTickMark val="out"/>
        <c:minorTickMark val="none"/>
        <c:tickLblPos val="nextTo"/>
        <c:txPr>
          <a:bodyPr/>
          <a:lstStyle/>
          <a:p>
            <a:pPr>
              <a:defRPr b="1"/>
            </a:pPr>
            <a:endParaRPr lang="en-US"/>
          </a:p>
        </c:txPr>
        <c:crossAx val="22217600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6"/>
    </mc:Choice>
    <mc:Fallback>
      <c:style val="6"/>
    </mc:Fallback>
  </mc:AlternateContent>
  <c:pivotSource>
    <c:name>[random data 2.xlsx]kpi!gender</c:name>
    <c:fmtId val="1"/>
  </c:pivotSource>
  <c:chart>
    <c:title>
      <c:tx>
        <c:rich>
          <a:bodyPr/>
          <a:lstStyle/>
          <a:p>
            <a:pPr>
              <a:defRPr>
                <a:solidFill>
                  <a:srgbClr val="C00000"/>
                </a:solidFill>
              </a:defRPr>
            </a:pPr>
            <a:r>
              <a:rPr lang="en-IN">
                <a:solidFill>
                  <a:srgbClr val="C00000"/>
                </a:solidFill>
              </a:rPr>
              <a:t>Male</a:t>
            </a:r>
            <a:r>
              <a:rPr lang="en-IN" baseline="0">
                <a:solidFill>
                  <a:srgbClr val="C00000"/>
                </a:solidFill>
              </a:rPr>
              <a:t> vs Female</a:t>
            </a:r>
            <a:endParaRPr lang="en-IN">
              <a:solidFill>
                <a:srgbClr val="C00000"/>
              </a:solidFill>
            </a:endParaRPr>
          </a:p>
        </c:rich>
      </c:tx>
      <c:overlay val="0"/>
      <c:spPr>
        <a:solidFill>
          <a:schemeClr val="bg2"/>
        </a:solidFill>
      </c:spPr>
    </c:title>
    <c:autoTitleDeleted val="0"/>
    <c:pivotFmts>
      <c:pivotFmt>
        <c:idx val="0"/>
        <c:marker>
          <c:symbol val="none"/>
        </c:marker>
        <c:dLbl>
          <c:idx val="0"/>
          <c:spPr>
            <a:solidFill>
              <a:schemeClr val="bg2">
                <a:lumMod val="25000"/>
              </a:schemeClr>
            </a:solidFill>
          </c:spPr>
          <c:txPr>
            <a:bodyPr/>
            <a:lstStyle/>
            <a:p>
              <a:pPr>
                <a:defRPr>
                  <a:solidFill>
                    <a:schemeClr val="bg1"/>
                  </a:solidFill>
                </a:defRPr>
              </a:pPr>
              <a:endParaRPr lang="en-US"/>
            </a:p>
          </c:txPr>
          <c:showLegendKey val="0"/>
          <c:showVal val="0"/>
          <c:showCatName val="0"/>
          <c:showSerName val="0"/>
          <c:showPercent val="1"/>
          <c:showBubbleSize val="0"/>
        </c:dLbl>
      </c:pivotFmt>
      <c:pivotFmt>
        <c:idx val="1"/>
      </c:pivotFmt>
      <c:pivotFmt>
        <c:idx val="2"/>
        <c:spPr>
          <a:solidFill>
            <a:schemeClr val="accent2"/>
          </a:solidFill>
        </c:spPr>
      </c:pivotFmt>
      <c:pivotFmt>
        <c:idx val="3"/>
        <c:spPr>
          <a:solidFill>
            <a:schemeClr val="accent2">
              <a:lumMod val="50000"/>
            </a:schemeClr>
          </a:solidFill>
        </c:spPr>
      </c:pivotFmt>
      <c:pivotFmt>
        <c:idx val="4"/>
        <c:spPr>
          <a:solidFill>
            <a:schemeClr val="accent3">
              <a:lumMod val="75000"/>
            </a:schemeClr>
          </a:solidFill>
        </c:spPr>
      </c:pivotFmt>
    </c:pivotFmts>
    <c:plotArea>
      <c:layout/>
      <c:doughnutChart>
        <c:varyColors val="1"/>
        <c:ser>
          <c:idx val="0"/>
          <c:order val="0"/>
          <c:tx>
            <c:strRef>
              <c:f>kpi!$V$18</c:f>
              <c:strCache>
                <c:ptCount val="1"/>
                <c:pt idx="0">
                  <c:v>Total</c:v>
                </c:pt>
              </c:strCache>
            </c:strRef>
          </c:tx>
          <c:dPt>
            <c:idx val="0"/>
            <c:bubble3D val="0"/>
            <c:spPr>
              <a:solidFill>
                <a:schemeClr val="accent2">
                  <a:lumMod val="50000"/>
                </a:schemeClr>
              </a:solidFill>
            </c:spPr>
          </c:dPt>
          <c:dPt>
            <c:idx val="1"/>
            <c:bubble3D val="0"/>
            <c:spPr>
              <a:solidFill>
                <a:schemeClr val="accent3">
                  <a:lumMod val="75000"/>
                </a:schemeClr>
              </a:solidFill>
            </c:spPr>
          </c:dPt>
          <c:dPt>
            <c:idx val="2"/>
            <c:bubble3D val="0"/>
            <c:spPr>
              <a:solidFill>
                <a:schemeClr val="accent2"/>
              </a:solidFill>
            </c:spPr>
          </c:dPt>
          <c:dLbls>
            <c:spPr>
              <a:solidFill>
                <a:schemeClr val="bg2">
                  <a:lumMod val="25000"/>
                </a:schemeClr>
              </a:solidFill>
            </c:spPr>
            <c:txPr>
              <a:bodyPr/>
              <a:lstStyle/>
              <a:p>
                <a:pPr>
                  <a:defRPr>
                    <a:solidFill>
                      <a:schemeClr val="bg1"/>
                    </a:solidFill>
                  </a:defRPr>
                </a:pPr>
                <a:endParaRPr lang="en-US"/>
              </a:p>
            </c:txPr>
            <c:showLegendKey val="0"/>
            <c:showVal val="0"/>
            <c:showCatName val="0"/>
            <c:showSerName val="0"/>
            <c:showPercent val="1"/>
            <c:showBubbleSize val="0"/>
            <c:showLeaderLines val="1"/>
          </c:dLbls>
          <c:cat>
            <c:strRef>
              <c:f>kpi!$U$19:$U$22</c:f>
              <c:strCache>
                <c:ptCount val="3"/>
                <c:pt idx="0">
                  <c:v>Female</c:v>
                </c:pt>
                <c:pt idx="1">
                  <c:v>Female </c:v>
                </c:pt>
                <c:pt idx="2">
                  <c:v>Male</c:v>
                </c:pt>
              </c:strCache>
            </c:strRef>
          </c:cat>
          <c:val>
            <c:numRef>
              <c:f>kpi!$V$19:$V$22</c:f>
              <c:numCache>
                <c:formatCode>General</c:formatCode>
                <c:ptCount val="3"/>
                <c:pt idx="0">
                  <c:v>32464.654000000002</c:v>
                </c:pt>
                <c:pt idx="1">
                  <c:v>58027.035000000003</c:v>
                </c:pt>
                <c:pt idx="2">
                  <c:v>165246.74400000001</c:v>
                </c:pt>
              </c:numCache>
            </c:numRef>
          </c:val>
        </c:ser>
        <c:dLbls>
          <c:showLegendKey val="0"/>
          <c:showVal val="0"/>
          <c:showCatName val="0"/>
          <c:showSerName val="0"/>
          <c:showPercent val="0"/>
          <c:showBubbleSize val="0"/>
          <c:showLeaderLines val="1"/>
        </c:dLbls>
        <c:firstSliceAng val="0"/>
        <c:holeSize val="50"/>
      </c:doughnutChart>
    </c:plotArea>
    <c:legend>
      <c:legendPos val="b"/>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1"/>
    </mc:Choice>
    <mc:Fallback>
      <c:style val="1"/>
    </mc:Fallback>
  </mc:AlternateContent>
  <c:pivotSource>
    <c:name>[random data 2.xlsx]kpi!regionshippingcost</c:name>
    <c:fmtId val="1"/>
  </c:pivotSource>
  <c:chart>
    <c:title>
      <c:tx>
        <c:rich>
          <a:bodyPr/>
          <a:lstStyle/>
          <a:p>
            <a:pPr>
              <a:defRPr>
                <a:solidFill>
                  <a:srgbClr val="C00000"/>
                </a:solidFill>
              </a:defRPr>
            </a:pPr>
            <a:r>
              <a:rPr lang="en-US">
                <a:solidFill>
                  <a:srgbClr val="C00000"/>
                </a:solidFill>
              </a:rPr>
              <a:t>Shipping Cost/Region</a:t>
            </a:r>
          </a:p>
        </c:rich>
      </c:tx>
      <c:overlay val="0"/>
      <c:spPr>
        <a:solidFill>
          <a:schemeClr val="accent1">
            <a:lumMod val="20000"/>
            <a:lumOff val="80000"/>
          </a:schemeClr>
        </a:solidFill>
      </c:spPr>
    </c:title>
    <c:autoTitleDeleted val="0"/>
    <c:pivotFmts>
      <c:pivotFmt>
        <c:idx val="0"/>
        <c:dLbl>
          <c:idx val="0"/>
          <c:showLegendKey val="0"/>
          <c:showVal val="1"/>
          <c:showCatName val="0"/>
          <c:showSerName val="0"/>
          <c:showPercent val="0"/>
          <c:showBubbleSize val="0"/>
        </c:dLbl>
      </c:pivotFmt>
      <c:pivotFmt>
        <c:idx val="1"/>
        <c:dLbl>
          <c:idx val="0"/>
          <c:layout>
            <c:manualLayout>
              <c:x val="-1.0802467385621434E-2"/>
              <c:y val="-5.4718029806246474E-2"/>
            </c:manualLayout>
          </c:layout>
          <c:showLegendKey val="0"/>
          <c:showVal val="1"/>
          <c:showCatName val="0"/>
          <c:showSerName val="0"/>
          <c:showPercent val="0"/>
          <c:showBubbleSize val="0"/>
        </c:dLbl>
      </c:pivotFmt>
      <c:pivotFmt>
        <c:idx val="2"/>
        <c:dLbl>
          <c:idx val="0"/>
          <c:layout>
            <c:manualLayout>
              <c:x val="-1.4403289847495246E-2"/>
              <c:y val="-4.6901168405354118E-2"/>
            </c:manualLayout>
          </c:layout>
          <c:showLegendKey val="0"/>
          <c:showVal val="1"/>
          <c:showCatName val="0"/>
          <c:showSerName val="0"/>
          <c:showPercent val="0"/>
          <c:showBubbleSize val="0"/>
        </c:dLbl>
      </c:pivotFmt>
      <c:pivotFmt>
        <c:idx val="3"/>
        <c:dLbl>
          <c:idx val="0"/>
          <c:layout>
            <c:manualLayout>
              <c:x val="-3.6008224618738114E-3"/>
              <c:y val="-4.2992737704907941E-2"/>
            </c:manualLayout>
          </c:layout>
          <c:showLegendKey val="0"/>
          <c:showVal val="1"/>
          <c:showCatName val="0"/>
          <c:showSerName val="0"/>
          <c:showPercent val="0"/>
          <c:showBubbleSize val="0"/>
        </c:dLbl>
      </c:pivotFmt>
      <c:pivotFmt>
        <c:idx val="4"/>
        <c:dLbl>
          <c:idx val="0"/>
          <c:layout>
            <c:manualLayout>
              <c:x val="0"/>
              <c:y val="-3.1267445603569415E-2"/>
            </c:manualLayout>
          </c:layout>
          <c:showLegendKey val="0"/>
          <c:showVal val="1"/>
          <c:showCatName val="0"/>
          <c:showSerName val="0"/>
          <c:showPercent val="0"/>
          <c:showBubbleSize val="0"/>
        </c:dLbl>
      </c:pivotFmt>
    </c:pivotFmts>
    <c:plotArea>
      <c:layout/>
      <c:lineChart>
        <c:grouping val="standard"/>
        <c:varyColors val="0"/>
        <c:ser>
          <c:idx val="0"/>
          <c:order val="0"/>
          <c:tx>
            <c:strRef>
              <c:f>kpi!$AB$17</c:f>
              <c:strCache>
                <c:ptCount val="1"/>
                <c:pt idx="0">
                  <c:v>Total</c:v>
                </c:pt>
              </c:strCache>
            </c:strRef>
          </c:tx>
          <c:dLbls>
            <c:dLbl>
              <c:idx val="1"/>
              <c:layout>
                <c:manualLayout>
                  <c:x val="-1.0802467385621434E-2"/>
                  <c:y val="-5.4718029806246474E-2"/>
                </c:manualLayout>
              </c:layout>
              <c:showLegendKey val="0"/>
              <c:showVal val="1"/>
              <c:showCatName val="0"/>
              <c:showSerName val="0"/>
              <c:showPercent val="0"/>
              <c:showBubbleSize val="0"/>
            </c:dLbl>
            <c:dLbl>
              <c:idx val="2"/>
              <c:layout>
                <c:manualLayout>
                  <c:x val="-1.4403289847495246E-2"/>
                  <c:y val="-4.6901168405354118E-2"/>
                </c:manualLayout>
              </c:layout>
              <c:showLegendKey val="0"/>
              <c:showVal val="1"/>
              <c:showCatName val="0"/>
              <c:showSerName val="0"/>
              <c:showPercent val="0"/>
              <c:showBubbleSize val="0"/>
            </c:dLbl>
            <c:dLbl>
              <c:idx val="3"/>
              <c:layout>
                <c:manualLayout>
                  <c:x val="-3.6008224618738114E-3"/>
                  <c:y val="-4.2992737704907941E-2"/>
                </c:manualLayout>
              </c:layout>
              <c:showLegendKey val="0"/>
              <c:showVal val="1"/>
              <c:showCatName val="0"/>
              <c:showSerName val="0"/>
              <c:showPercent val="0"/>
              <c:showBubbleSize val="0"/>
            </c:dLbl>
            <c:dLbl>
              <c:idx val="4"/>
              <c:layout>
                <c:manualLayout>
                  <c:x val="0"/>
                  <c:y val="-3.1267445603569415E-2"/>
                </c:manualLayout>
              </c:layout>
              <c:showLegendKey val="0"/>
              <c:showVal val="1"/>
              <c:showCatName val="0"/>
              <c:showSerName val="0"/>
              <c:showPercent val="0"/>
              <c:showBubbleSize val="0"/>
            </c:dLbl>
            <c:spPr/>
            <c:txPr>
              <a:bodyPr/>
              <a:lstStyle/>
              <a:p>
                <a:pPr>
                  <a:defRPr/>
                </a:pPr>
                <a:endParaRPr lang="en-US"/>
              </a:p>
            </c:txPr>
            <c:showLegendKey val="0"/>
            <c:showVal val="1"/>
            <c:showCatName val="0"/>
            <c:showSerName val="0"/>
            <c:showPercent val="0"/>
            <c:showBubbleSize val="0"/>
            <c:showLeaderLines val="0"/>
          </c:dLbls>
          <c:cat>
            <c:strRef>
              <c:f>kpi!$AA$18:$AA$23</c:f>
              <c:strCache>
                <c:ptCount val="5"/>
                <c:pt idx="0">
                  <c:v>Central</c:v>
                </c:pt>
                <c:pt idx="1">
                  <c:v>East</c:v>
                </c:pt>
                <c:pt idx="2">
                  <c:v>North</c:v>
                </c:pt>
                <c:pt idx="3">
                  <c:v>South</c:v>
                </c:pt>
                <c:pt idx="4">
                  <c:v>West</c:v>
                </c:pt>
              </c:strCache>
            </c:strRef>
          </c:cat>
          <c:val>
            <c:numRef>
              <c:f>kpi!$AB$18:$AB$23</c:f>
              <c:numCache>
                <c:formatCode>0.00%</c:formatCode>
                <c:ptCount val="5"/>
                <c:pt idx="0">
                  <c:v>0.98968174737877945</c:v>
                </c:pt>
                <c:pt idx="1">
                  <c:v>2.3121694135966766E-3</c:v>
                </c:pt>
                <c:pt idx="2">
                  <c:v>2.6228180252873866E-3</c:v>
                </c:pt>
                <c:pt idx="3">
                  <c:v>3.0745364970338465E-3</c:v>
                </c:pt>
                <c:pt idx="4">
                  <c:v>2.308728685302634E-3</c:v>
                </c:pt>
              </c:numCache>
            </c:numRef>
          </c:val>
          <c:smooth val="0"/>
        </c:ser>
        <c:dLbls>
          <c:showLegendKey val="0"/>
          <c:showVal val="1"/>
          <c:showCatName val="0"/>
          <c:showSerName val="0"/>
          <c:showPercent val="0"/>
          <c:showBubbleSize val="0"/>
        </c:dLbls>
        <c:marker val="1"/>
        <c:smooth val="0"/>
        <c:axId val="222250112"/>
        <c:axId val="222265344"/>
      </c:lineChart>
      <c:catAx>
        <c:axId val="222250112"/>
        <c:scaling>
          <c:orientation val="minMax"/>
        </c:scaling>
        <c:delete val="0"/>
        <c:axPos val="b"/>
        <c:majorTickMark val="out"/>
        <c:minorTickMark val="none"/>
        <c:tickLblPos val="nextTo"/>
        <c:crossAx val="222265344"/>
        <c:crosses val="autoZero"/>
        <c:auto val="1"/>
        <c:lblAlgn val="ctr"/>
        <c:lblOffset val="100"/>
        <c:noMultiLvlLbl val="0"/>
      </c:catAx>
      <c:valAx>
        <c:axId val="222265344"/>
        <c:scaling>
          <c:orientation val="minMax"/>
        </c:scaling>
        <c:delete val="0"/>
        <c:axPos val="l"/>
        <c:numFmt formatCode="0.00%" sourceLinked="1"/>
        <c:majorTickMark val="out"/>
        <c:minorTickMark val="none"/>
        <c:tickLblPos val="nextTo"/>
        <c:crossAx val="22225011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[random data 2.xlsx]kpi!Netregionprofit</c:name>
    <c:fmtId val="9"/>
  </c:pivotSource>
  <c:chart>
    <c:title>
      <c:tx>
        <c:rich>
          <a:bodyPr/>
          <a:lstStyle/>
          <a:p>
            <a:pPr>
              <a:defRPr/>
            </a:pPr>
            <a:r>
              <a:rPr lang="en-IN"/>
              <a:t>Total</a:t>
            </a:r>
            <a:r>
              <a:rPr lang="en-IN" baseline="0"/>
              <a:t> Sales vs Total Profit</a:t>
            </a:r>
            <a:endParaRPr lang="en-IN"/>
          </a:p>
        </c:rich>
      </c:tx>
      <c:layout>
        <c:manualLayout>
          <c:xMode val="edge"/>
          <c:yMode val="edge"/>
          <c:x val="0.29139143853896804"/>
          <c:y val="0.11009045791484072"/>
        </c:manualLayout>
      </c:layout>
      <c:overlay val="0"/>
      <c:spPr>
        <a:solidFill>
          <a:schemeClr val="accent3">
            <a:lumMod val="20000"/>
            <a:lumOff val="80000"/>
          </a:schemeClr>
        </a:solidFill>
      </c:spPr>
    </c:title>
    <c:autoTitleDeleted val="0"/>
    <c:pivotFmts>
      <c:pivotFmt>
        <c:idx val="0"/>
        <c:spPr>
          <a:solidFill>
            <a:schemeClr val="tx1">
              <a:lumMod val="50000"/>
              <a:lumOff val="50000"/>
            </a:schemeClr>
          </a:solidFill>
        </c:spPr>
        <c:marker>
          <c:symbol val="none"/>
        </c:marker>
      </c:pivotFmt>
      <c:pivotFmt>
        <c:idx val="1"/>
        <c:spPr>
          <a:solidFill>
            <a:schemeClr val="accent3">
              <a:lumMod val="60000"/>
              <a:lumOff val="40000"/>
            </a:schemeClr>
          </a:solidFill>
        </c:spPr>
        <c:marker>
          <c:symbol val="none"/>
        </c:marker>
      </c:pivotFmt>
      <c:pivotFmt>
        <c:idx val="2"/>
        <c:spPr>
          <a:solidFill>
            <a:schemeClr val="tx1">
              <a:lumMod val="50000"/>
              <a:lumOff val="50000"/>
            </a:schemeClr>
          </a:solidFill>
        </c:spPr>
        <c:marker>
          <c:symbol val="none"/>
        </c:marker>
      </c:pivotFmt>
      <c:pivotFmt>
        <c:idx val="3"/>
        <c:spPr>
          <a:solidFill>
            <a:schemeClr val="accent3">
              <a:lumMod val="60000"/>
              <a:lumOff val="40000"/>
            </a:schemeClr>
          </a:solidFill>
        </c:spPr>
        <c:marker>
          <c:symbol val="none"/>
        </c:marker>
      </c:pivotFmt>
      <c:pivotFmt>
        <c:idx val="4"/>
        <c:spPr>
          <a:solidFill>
            <a:schemeClr val="tx1">
              <a:lumMod val="50000"/>
              <a:lumOff val="50000"/>
            </a:schemeClr>
          </a:solidFill>
        </c:spPr>
        <c:marker>
          <c:symbol val="none"/>
        </c:marker>
      </c:pivotFmt>
      <c:pivotFmt>
        <c:idx val="5"/>
        <c:spPr>
          <a:solidFill>
            <a:schemeClr val="accent3">
              <a:lumMod val="60000"/>
              <a:lumOff val="40000"/>
            </a:schemeClr>
          </a:solidFill>
        </c:spPr>
        <c:marker>
          <c:symbol val="none"/>
        </c:marker>
      </c:pivotFmt>
    </c:pivotFmts>
    <c:plotArea>
      <c:layout>
        <c:manualLayout>
          <c:layoutTarget val="inner"/>
          <c:xMode val="edge"/>
          <c:yMode val="edge"/>
          <c:x val="0.11423840769903762"/>
          <c:y val="0.27248651210265384"/>
          <c:w val="0.85520603674540685"/>
          <c:h val="0.50607283464566932"/>
        </c:manualLayout>
      </c:layout>
      <c:barChart>
        <c:barDir val="col"/>
        <c:grouping val="clustered"/>
        <c:varyColors val="0"/>
        <c:ser>
          <c:idx val="0"/>
          <c:order val="0"/>
          <c:tx>
            <c:strRef>
              <c:f>kpi!$B$16</c:f>
              <c:strCache>
                <c:ptCount val="1"/>
                <c:pt idx="0">
                  <c:v>Sum of Net Sales </c:v>
                </c:pt>
              </c:strCache>
            </c:strRef>
          </c:tx>
          <c:spPr>
            <a:solidFill>
              <a:schemeClr val="tx1">
                <a:lumMod val="50000"/>
                <a:lumOff val="50000"/>
              </a:schemeClr>
            </a:solidFill>
          </c:spPr>
          <c:invertIfNegative val="0"/>
          <c:cat>
            <c:strRef>
              <c:f>kpi!$A$17:$A$22</c:f>
              <c:strCache>
                <c:ptCount val="5"/>
                <c:pt idx="0">
                  <c:v>Central</c:v>
                </c:pt>
                <c:pt idx="1">
                  <c:v>East</c:v>
                </c:pt>
                <c:pt idx="2">
                  <c:v>North</c:v>
                </c:pt>
                <c:pt idx="3">
                  <c:v>South</c:v>
                </c:pt>
                <c:pt idx="4">
                  <c:v>West</c:v>
                </c:pt>
              </c:strCache>
            </c:strRef>
          </c:cat>
          <c:val>
            <c:numRef>
              <c:f>kpi!$B$17:$B$22</c:f>
              <c:numCache>
                <c:formatCode>General</c:formatCode>
                <c:ptCount val="5"/>
                <c:pt idx="0">
                  <c:v>60357.217499999999</c:v>
                </c:pt>
                <c:pt idx="1">
                  <c:v>53515.164999999986</c:v>
                </c:pt>
                <c:pt idx="2">
                  <c:v>50428.544999999991</c:v>
                </c:pt>
                <c:pt idx="3">
                  <c:v>59673.343499999995</c:v>
                </c:pt>
                <c:pt idx="4">
                  <c:v>31764.162</c:v>
                </c:pt>
              </c:numCache>
            </c:numRef>
          </c:val>
        </c:ser>
        <c:ser>
          <c:idx val="1"/>
          <c:order val="1"/>
          <c:tx>
            <c:strRef>
              <c:f>kpi!$C$16</c:f>
              <c:strCache>
                <c:ptCount val="1"/>
                <c:pt idx="0">
                  <c:v>Sum of Profit</c:v>
                </c:pt>
              </c:strCache>
            </c:strRef>
          </c:tx>
          <c:spPr>
            <a:solidFill>
              <a:schemeClr val="accent3">
                <a:lumMod val="60000"/>
                <a:lumOff val="40000"/>
              </a:schemeClr>
            </a:solidFill>
          </c:spPr>
          <c:invertIfNegative val="0"/>
          <c:cat>
            <c:strRef>
              <c:f>kpi!$A$17:$A$22</c:f>
              <c:strCache>
                <c:ptCount val="5"/>
                <c:pt idx="0">
                  <c:v>Central</c:v>
                </c:pt>
                <c:pt idx="1">
                  <c:v>East</c:v>
                </c:pt>
                <c:pt idx="2">
                  <c:v>North</c:v>
                </c:pt>
                <c:pt idx="3">
                  <c:v>South</c:v>
                </c:pt>
                <c:pt idx="4">
                  <c:v>West</c:v>
                </c:pt>
              </c:strCache>
            </c:strRef>
          </c:cat>
          <c:val>
            <c:numRef>
              <c:f>kpi!$C$17:$C$22</c:f>
              <c:numCache>
                <c:formatCode>General</c:formatCode>
                <c:ptCount val="5"/>
                <c:pt idx="0">
                  <c:v>16477</c:v>
                </c:pt>
                <c:pt idx="1">
                  <c:v>10332</c:v>
                </c:pt>
                <c:pt idx="2">
                  <c:v>10476</c:v>
                </c:pt>
                <c:pt idx="3">
                  <c:v>14275</c:v>
                </c:pt>
                <c:pt idx="4">
                  <c:v>10594</c:v>
                </c:pt>
              </c:numCache>
            </c:numRef>
          </c:val>
        </c:ser>
        <c:dLbls>
          <c:showLegendKey val="0"/>
          <c:showVal val="0"/>
          <c:showCatName val="0"/>
          <c:showSerName val="0"/>
          <c:showPercent val="0"/>
          <c:showBubbleSize val="0"/>
        </c:dLbls>
        <c:gapWidth val="150"/>
        <c:axId val="221778304"/>
        <c:axId val="221779840"/>
      </c:barChart>
      <c:catAx>
        <c:axId val="221778304"/>
        <c:scaling>
          <c:orientation val="minMax"/>
        </c:scaling>
        <c:delete val="0"/>
        <c:axPos val="b"/>
        <c:majorTickMark val="out"/>
        <c:minorTickMark val="none"/>
        <c:tickLblPos val="nextTo"/>
        <c:txPr>
          <a:bodyPr/>
          <a:lstStyle/>
          <a:p>
            <a:pPr>
              <a:defRPr b="1"/>
            </a:pPr>
            <a:endParaRPr lang="en-US"/>
          </a:p>
        </c:txPr>
        <c:crossAx val="221779840"/>
        <c:crosses val="autoZero"/>
        <c:auto val="1"/>
        <c:lblAlgn val="ctr"/>
        <c:lblOffset val="100"/>
        <c:noMultiLvlLbl val="0"/>
      </c:catAx>
      <c:valAx>
        <c:axId val="221779840"/>
        <c:scaling>
          <c:orientation val="minMax"/>
        </c:scaling>
        <c:delete val="0"/>
        <c:axPos val="l"/>
        <c:numFmt formatCode="General" sourceLinked="1"/>
        <c:majorTickMark val="out"/>
        <c:minorTickMark val="none"/>
        <c:tickLblPos val="nextTo"/>
        <c:txPr>
          <a:bodyPr/>
          <a:lstStyle/>
          <a:p>
            <a:pPr>
              <a:defRPr b="1"/>
            </a:pPr>
            <a:endParaRPr lang="en-US"/>
          </a:p>
        </c:txPr>
        <c:crossAx val="221778304"/>
        <c:crosses val="autoZero"/>
        <c:crossBetween val="between"/>
      </c:valAx>
      <c:spPr>
        <a:solidFill>
          <a:schemeClr val="bg2"/>
        </a:solidFill>
      </c:spPr>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[random data 2.xlsx]kpi!productnetsales</c:name>
    <c:fmtId val="2"/>
  </c:pivotSource>
  <c:chart>
    <c:title>
      <c:tx>
        <c:rich>
          <a:bodyPr/>
          <a:lstStyle/>
          <a:p>
            <a:pPr>
              <a:defRPr/>
            </a:pPr>
            <a:r>
              <a:rPr lang="en-US"/>
              <a:t>Products</a:t>
            </a:r>
          </a:p>
        </c:rich>
      </c:tx>
      <c:layout>
        <c:manualLayout>
          <c:xMode val="edge"/>
          <c:yMode val="edge"/>
          <c:x val="0.44346732353585289"/>
          <c:y val="4.3943569553805774E-2"/>
        </c:manualLayout>
      </c:layout>
      <c:overlay val="0"/>
      <c:spPr>
        <a:solidFill>
          <a:schemeClr val="accent1">
            <a:lumMod val="20000"/>
            <a:lumOff val="80000"/>
          </a:schemeClr>
        </a:solidFill>
      </c:spPr>
    </c:title>
    <c:autoTitleDeleted val="0"/>
    <c:pivotFmts>
      <c:pivotFmt>
        <c:idx val="0"/>
        <c:spPr>
          <a:solidFill>
            <a:schemeClr val="accent4">
              <a:lumMod val="60000"/>
              <a:lumOff val="40000"/>
            </a:schemeClr>
          </a:solidFill>
        </c:spPr>
        <c:marker>
          <c:symbol val="none"/>
        </c:marker>
      </c:pivotFmt>
      <c:pivotFmt>
        <c:idx val="1"/>
        <c:marker>
          <c:symbol val="none"/>
        </c:marker>
      </c:pivotFmt>
      <c:pivotFmt>
        <c:idx val="2"/>
        <c:marker>
          <c:symbol val="none"/>
        </c:marker>
      </c:pivotFmt>
      <c:pivotFmt>
        <c:idx val="3"/>
        <c:marker>
          <c:symbol val="none"/>
        </c:marker>
      </c:pivotFmt>
      <c:pivotFmt>
        <c:idx val="4"/>
        <c:spPr>
          <a:solidFill>
            <a:schemeClr val="accent4">
              <a:lumMod val="60000"/>
              <a:lumOff val="40000"/>
            </a:schemeClr>
          </a:solidFill>
        </c:spPr>
        <c:marker>
          <c:symbol val="none"/>
        </c:marker>
      </c:pivotFmt>
      <c:pivotFmt>
        <c:idx val="5"/>
        <c:spPr>
          <a:solidFill>
            <a:schemeClr val="accent4">
              <a:lumMod val="60000"/>
              <a:lumOff val="40000"/>
            </a:schemeClr>
          </a:solidFill>
        </c:spPr>
        <c:marker>
          <c:symbol val="none"/>
        </c:marker>
      </c:pivotFmt>
    </c:pivotFmts>
    <c:plotArea>
      <c:layout>
        <c:manualLayout>
          <c:layoutTarget val="inner"/>
          <c:xMode val="edge"/>
          <c:yMode val="edge"/>
          <c:x val="0.15060421269223415"/>
          <c:y val="0.17581036745406825"/>
          <c:w val="0.80509448308697507"/>
          <c:h val="0.68969123651210262"/>
        </c:manualLayout>
      </c:layout>
      <c:barChart>
        <c:barDir val="bar"/>
        <c:grouping val="clustered"/>
        <c:varyColors val="0"/>
        <c:ser>
          <c:idx val="0"/>
          <c:order val="0"/>
          <c:tx>
            <c:strRef>
              <c:f>kpi!$O$14</c:f>
              <c:strCache>
                <c:ptCount val="1"/>
                <c:pt idx="0">
                  <c:v>Total</c:v>
                </c:pt>
              </c:strCache>
            </c:strRef>
          </c:tx>
          <c:spPr>
            <a:solidFill>
              <a:schemeClr val="accent4">
                <a:lumMod val="60000"/>
                <a:lumOff val="40000"/>
              </a:schemeClr>
            </a:solidFill>
          </c:spPr>
          <c:invertIfNegative val="0"/>
          <c:cat>
            <c:strRef>
              <c:f>kpi!$N$15:$N$22</c:f>
              <c:strCache>
                <c:ptCount val="7"/>
                <c:pt idx="0">
                  <c:v>Chair</c:v>
                </c:pt>
                <c:pt idx="1">
                  <c:v>Desk</c:v>
                </c:pt>
                <c:pt idx="2">
                  <c:v>Laptop</c:v>
                </c:pt>
                <c:pt idx="3">
                  <c:v>Monitor</c:v>
                </c:pt>
                <c:pt idx="4">
                  <c:v>Phone</c:v>
                </c:pt>
                <c:pt idx="5">
                  <c:v>Printer</c:v>
                </c:pt>
                <c:pt idx="6">
                  <c:v>Tablet</c:v>
                </c:pt>
              </c:strCache>
            </c:strRef>
          </c:cat>
          <c:val>
            <c:numRef>
              <c:f>kpi!$O$15:$O$22</c:f>
              <c:numCache>
                <c:formatCode>General</c:formatCode>
                <c:ptCount val="7"/>
                <c:pt idx="0">
                  <c:v>84589.205000000002</c:v>
                </c:pt>
                <c:pt idx="1">
                  <c:v>35548.142999999996</c:v>
                </c:pt>
                <c:pt idx="2">
                  <c:v>32596.785499999998</c:v>
                </c:pt>
                <c:pt idx="3">
                  <c:v>23649.673000000003</c:v>
                </c:pt>
                <c:pt idx="4">
                  <c:v>39395.702999999994</c:v>
                </c:pt>
                <c:pt idx="5">
                  <c:v>7115.1880000000001</c:v>
                </c:pt>
                <c:pt idx="6">
                  <c:v>32843.735500000003</c:v>
                </c:pt>
              </c:numCache>
            </c:numRef>
          </c:val>
        </c:ser>
        <c:dLbls>
          <c:showLegendKey val="0"/>
          <c:showVal val="0"/>
          <c:showCatName val="0"/>
          <c:showSerName val="0"/>
          <c:showPercent val="0"/>
          <c:showBubbleSize val="0"/>
        </c:dLbls>
        <c:gapWidth val="150"/>
        <c:axId val="221805184"/>
        <c:axId val="221811072"/>
      </c:barChart>
      <c:catAx>
        <c:axId val="221805184"/>
        <c:scaling>
          <c:orientation val="minMax"/>
        </c:scaling>
        <c:delete val="0"/>
        <c:axPos val="l"/>
        <c:majorTickMark val="out"/>
        <c:minorTickMark val="none"/>
        <c:tickLblPos val="nextTo"/>
        <c:txPr>
          <a:bodyPr/>
          <a:lstStyle/>
          <a:p>
            <a:pPr>
              <a:defRPr b="1"/>
            </a:pPr>
            <a:endParaRPr lang="en-US"/>
          </a:p>
        </c:txPr>
        <c:crossAx val="221811072"/>
        <c:crosses val="autoZero"/>
        <c:auto val="1"/>
        <c:lblAlgn val="ctr"/>
        <c:lblOffset val="100"/>
        <c:noMultiLvlLbl val="0"/>
      </c:catAx>
      <c:valAx>
        <c:axId val="221811072"/>
        <c:scaling>
          <c:orientation val="minMax"/>
        </c:scaling>
        <c:delete val="0"/>
        <c:axPos val="b"/>
        <c:numFmt formatCode="General" sourceLinked="1"/>
        <c:majorTickMark val="out"/>
        <c:minorTickMark val="none"/>
        <c:tickLblPos val="nextTo"/>
        <c:txPr>
          <a:bodyPr/>
          <a:lstStyle/>
          <a:p>
            <a:pPr>
              <a:defRPr b="1"/>
            </a:pPr>
            <a:endParaRPr lang="en-US"/>
          </a:p>
        </c:txPr>
        <c:crossAx val="221805184"/>
        <c:crosses val="autoZero"/>
        <c:crossBetween val="between"/>
      </c:valAx>
      <c:spPr>
        <a:solidFill>
          <a:schemeClr val="accent4">
            <a:lumMod val="20000"/>
            <a:lumOff val="80000"/>
          </a:schemeClr>
        </a:solidFill>
      </c:spPr>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[random data 2.xlsx]kpi!paymentmethod</c:name>
    <c:fmtId val="3"/>
  </c:pivotSource>
  <c:chart>
    <c:title>
      <c:tx>
        <c:rich>
          <a:bodyPr/>
          <a:lstStyle/>
          <a:p>
            <a:pPr>
              <a:defRPr>
                <a:solidFill>
                  <a:schemeClr val="accent2">
                    <a:lumMod val="50000"/>
                  </a:schemeClr>
                </a:solidFill>
              </a:defRPr>
            </a:pPr>
            <a:r>
              <a:rPr lang="en-US">
                <a:solidFill>
                  <a:schemeClr val="accent2">
                    <a:lumMod val="50000"/>
                  </a:schemeClr>
                </a:solidFill>
              </a:rPr>
              <a:t>Payment</a:t>
            </a:r>
            <a:r>
              <a:rPr lang="en-US" baseline="0">
                <a:solidFill>
                  <a:schemeClr val="accent2">
                    <a:lumMod val="50000"/>
                  </a:schemeClr>
                </a:solidFill>
              </a:rPr>
              <a:t> Mode</a:t>
            </a:r>
            <a:endParaRPr lang="en-US">
              <a:solidFill>
                <a:schemeClr val="accent2">
                  <a:lumMod val="50000"/>
                </a:schemeClr>
              </a:solidFill>
            </a:endParaRPr>
          </a:p>
        </c:rich>
      </c:tx>
      <c:layout>
        <c:manualLayout>
          <c:xMode val="edge"/>
          <c:yMode val="edge"/>
          <c:x val="0.21809277127987994"/>
          <c:y val="4.1855999569304254E-2"/>
        </c:manualLayout>
      </c:layout>
      <c:overlay val="0"/>
      <c:spPr>
        <a:solidFill>
          <a:schemeClr val="accent1">
            <a:lumMod val="20000"/>
            <a:lumOff val="80000"/>
          </a:schemeClr>
        </a:solidFill>
      </c:spPr>
    </c:title>
    <c:autoTitleDeleted val="0"/>
    <c:pivotFmts>
      <c:pivotFmt>
        <c:idx val="0"/>
        <c:marker>
          <c:symbol val="none"/>
        </c:marker>
      </c:pivotFmt>
      <c:pivotFmt>
        <c:idx val="1"/>
        <c:marker>
          <c:symbol val="none"/>
        </c:marker>
      </c:pivotFmt>
      <c:pivotFmt>
        <c:idx val="2"/>
        <c:marker>
          <c:symbol val="none"/>
        </c:marker>
      </c:pivotFmt>
    </c:pivotFmts>
    <c:plotArea>
      <c:layout/>
      <c:pieChart>
        <c:varyColors val="1"/>
        <c:ser>
          <c:idx val="0"/>
          <c:order val="0"/>
          <c:tx>
            <c:strRef>
              <c:f>kpi!$G$16</c:f>
              <c:strCache>
                <c:ptCount val="1"/>
                <c:pt idx="0">
                  <c:v>Total</c:v>
                </c:pt>
              </c:strCache>
            </c:strRef>
          </c:tx>
          <c:cat>
            <c:strRef>
              <c:f>kpi!$F$17:$F$22</c:f>
              <c:strCache>
                <c:ptCount val="5"/>
                <c:pt idx="0">
                  <c:v>Cash</c:v>
                </c:pt>
                <c:pt idx="1">
                  <c:v>Credit Card</c:v>
                </c:pt>
                <c:pt idx="2">
                  <c:v>Debit Card</c:v>
                </c:pt>
                <c:pt idx="3">
                  <c:v>Gift Card</c:v>
                </c:pt>
                <c:pt idx="4">
                  <c:v>Online</c:v>
                </c:pt>
              </c:strCache>
            </c:strRef>
          </c:cat>
          <c:val>
            <c:numRef>
              <c:f>kpi!$G$17:$G$22</c:f>
              <c:numCache>
                <c:formatCode>General</c:formatCode>
                <c:ptCount val="5"/>
                <c:pt idx="0">
                  <c:v>19720.548999999999</c:v>
                </c:pt>
                <c:pt idx="1">
                  <c:v>34346.32</c:v>
                </c:pt>
                <c:pt idx="2">
                  <c:v>17684.913499999999</c:v>
                </c:pt>
                <c:pt idx="3">
                  <c:v>105831.5975</c:v>
                </c:pt>
                <c:pt idx="4">
                  <c:v>78155.053000000014</c:v>
                </c:pt>
              </c:numCache>
            </c:numRef>
          </c:val>
        </c:ser>
        <c:dLbls>
          <c:showLegendKey val="0"/>
          <c:showVal val="0"/>
          <c:showCatName val="0"/>
          <c:showSerName val="0"/>
          <c:showPercent val="0"/>
          <c:showBubbleSize val="0"/>
          <c:showLeaderLines val="1"/>
        </c:dLbls>
        <c:firstSliceAng val="0"/>
      </c:pieChart>
    </c:plotArea>
    <c:legend>
      <c:legendPos val="r"/>
      <c:legendEntry>
        <c:idx val="0"/>
        <c:txPr>
          <a:bodyPr/>
          <a:lstStyle/>
          <a:p>
            <a:pPr>
              <a:defRPr b="1"/>
            </a:pPr>
            <a:endParaRPr lang="en-US"/>
          </a:p>
        </c:txPr>
      </c:legendEntry>
      <c:layout>
        <c:manualLayout>
          <c:xMode val="edge"/>
          <c:yMode val="edge"/>
          <c:x val="0.72711866619150511"/>
          <c:y val="0.28090335441698677"/>
          <c:w val="0.14340534934199178"/>
          <c:h val="0.56118309728564475"/>
        </c:manualLayout>
      </c:layout>
      <c:overlay val="0"/>
      <c:txPr>
        <a:bodyPr/>
        <a:lstStyle/>
        <a:p>
          <a:pPr>
            <a:defRPr b="1"/>
          </a:pPr>
          <a:endParaRPr lang="en-US"/>
        </a:p>
      </c:txPr>
    </c:legend>
    <c:plotVisOnly val="1"/>
    <c:dispBlanksAs val="gap"/>
    <c:showDLblsOverMax val="0"/>
  </c:chart>
  <c:spPr>
    <a:solidFill>
      <a:schemeClr val="bg2"/>
    </a:soli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[random data 2.xlsx]kpi!Citywiseprofit</c:name>
    <c:fmtId val="9"/>
  </c:pivotSource>
  <c:chart>
    <c:title>
      <c:tx>
        <c:rich>
          <a:bodyPr/>
          <a:lstStyle/>
          <a:p>
            <a:pPr>
              <a:defRPr sz="1400"/>
            </a:pPr>
            <a:r>
              <a:rPr lang="en-IN" sz="1400"/>
              <a:t>Sales</a:t>
            </a:r>
            <a:r>
              <a:rPr lang="en-IN" sz="1400" baseline="0"/>
              <a:t> vs Shipping Cost</a:t>
            </a:r>
            <a:endParaRPr lang="en-IN" sz="1400"/>
          </a:p>
        </c:rich>
      </c:tx>
      <c:layout>
        <c:manualLayout>
          <c:xMode val="edge"/>
          <c:yMode val="edge"/>
          <c:x val="0.36819842211495635"/>
          <c:y val="6.421514067211842E-2"/>
        </c:manualLayout>
      </c:layout>
      <c:overlay val="0"/>
      <c:spPr>
        <a:solidFill>
          <a:schemeClr val="bg1">
            <a:lumMod val="85000"/>
          </a:schemeClr>
        </a:solidFill>
      </c:spPr>
    </c:title>
    <c:autoTitleDeleted val="0"/>
    <c:pivotFmts>
      <c:pivotFmt>
        <c:idx val="0"/>
        <c:spPr>
          <a:solidFill>
            <a:schemeClr val="tx1">
              <a:lumMod val="95000"/>
              <a:lumOff val="5000"/>
            </a:schemeClr>
          </a:solidFill>
        </c:spPr>
        <c:marker>
          <c:symbol val="none"/>
        </c:marker>
      </c:pivotFmt>
      <c:pivotFmt>
        <c:idx val="1"/>
        <c:spPr>
          <a:solidFill>
            <a:schemeClr val="accent6">
              <a:lumMod val="60000"/>
              <a:lumOff val="40000"/>
            </a:schemeClr>
          </a:solidFill>
        </c:spPr>
        <c:marker>
          <c:symbol val="none"/>
        </c:marker>
      </c:pivotFmt>
      <c:pivotFmt>
        <c:idx val="2"/>
        <c:spPr>
          <a:solidFill>
            <a:schemeClr val="tx1">
              <a:lumMod val="95000"/>
              <a:lumOff val="5000"/>
            </a:schemeClr>
          </a:solidFill>
        </c:spPr>
        <c:marker>
          <c:symbol val="none"/>
        </c:marker>
      </c:pivotFmt>
      <c:pivotFmt>
        <c:idx val="3"/>
        <c:spPr>
          <a:solidFill>
            <a:schemeClr val="accent6">
              <a:lumMod val="60000"/>
              <a:lumOff val="40000"/>
            </a:schemeClr>
          </a:solidFill>
        </c:spPr>
        <c:marker>
          <c:symbol val="none"/>
        </c:marker>
      </c:pivotFmt>
      <c:pivotFmt>
        <c:idx val="4"/>
        <c:spPr>
          <a:solidFill>
            <a:schemeClr val="tx1">
              <a:lumMod val="95000"/>
              <a:lumOff val="5000"/>
            </a:schemeClr>
          </a:solidFill>
        </c:spPr>
        <c:marker>
          <c:symbol val="none"/>
        </c:marker>
      </c:pivotFmt>
      <c:pivotFmt>
        <c:idx val="5"/>
        <c:spPr>
          <a:solidFill>
            <a:schemeClr val="accent6">
              <a:lumMod val="60000"/>
              <a:lumOff val="40000"/>
            </a:schemeClr>
          </a:solidFill>
        </c:spPr>
        <c:marker>
          <c:symbol val="none"/>
        </c:marker>
      </c:pivotFmt>
    </c:pivotFmts>
    <c:view3D>
      <c:rotX val="15"/>
      <c:rotY val="20"/>
      <c:rAngAx val="1"/>
    </c:view3D>
    <c:floor>
      <c:thickness val="0"/>
    </c:floor>
    <c:sideWall>
      <c:thickness val="0"/>
      <c:spPr>
        <a:solidFill>
          <a:schemeClr val="accent5">
            <a:lumMod val="40000"/>
            <a:lumOff val="60000"/>
          </a:schemeClr>
        </a:solidFill>
      </c:spPr>
    </c:sideWall>
    <c:backWall>
      <c:thickness val="0"/>
      <c:spPr>
        <a:solidFill>
          <a:schemeClr val="accent5">
            <a:lumMod val="40000"/>
            <a:lumOff val="60000"/>
          </a:schemeClr>
        </a:solidFill>
      </c:spPr>
    </c:backWall>
    <c:plotArea>
      <c:layout>
        <c:manualLayout>
          <c:layoutTarget val="inner"/>
          <c:xMode val="edge"/>
          <c:yMode val="edge"/>
          <c:x val="0.13861960604998713"/>
          <c:y val="0.21194298233219752"/>
          <c:w val="0.69599186027248372"/>
          <c:h val="0.53942125639359084"/>
        </c:manualLayout>
      </c:layout>
      <c:bar3DChart>
        <c:barDir val="col"/>
        <c:grouping val="clustered"/>
        <c:varyColors val="0"/>
        <c:ser>
          <c:idx val="0"/>
          <c:order val="0"/>
          <c:tx>
            <c:strRef>
              <c:f>kpi!$J$16</c:f>
              <c:strCache>
                <c:ptCount val="1"/>
                <c:pt idx="0">
                  <c:v>Sum of Net Sales </c:v>
                </c:pt>
              </c:strCache>
            </c:strRef>
          </c:tx>
          <c:spPr>
            <a:solidFill>
              <a:schemeClr val="tx1">
                <a:lumMod val="95000"/>
                <a:lumOff val="5000"/>
              </a:schemeClr>
            </a:solidFill>
          </c:spPr>
          <c:invertIfNegative val="0"/>
          <c:cat>
            <c:strRef>
              <c:f>kpi!$I$17:$I$22</c:f>
              <c:strCache>
                <c:ptCount val="5"/>
                <c:pt idx="0">
                  <c:v>Bihar</c:v>
                </c:pt>
                <c:pt idx="1">
                  <c:v>Gonda</c:v>
                </c:pt>
                <c:pt idx="2">
                  <c:v>Kanpur</c:v>
                </c:pt>
                <c:pt idx="3">
                  <c:v>Lucknow</c:v>
                </c:pt>
                <c:pt idx="4">
                  <c:v>Mumbai</c:v>
                </c:pt>
              </c:strCache>
            </c:strRef>
          </c:cat>
          <c:val>
            <c:numRef>
              <c:f>kpi!$J$17:$J$22</c:f>
              <c:numCache>
                <c:formatCode>General</c:formatCode>
                <c:ptCount val="5"/>
                <c:pt idx="0">
                  <c:v>51027.070499999994</c:v>
                </c:pt>
                <c:pt idx="1">
                  <c:v>99772.376999999993</c:v>
                </c:pt>
                <c:pt idx="2">
                  <c:v>48001.408500000005</c:v>
                </c:pt>
                <c:pt idx="3">
                  <c:v>22432.125</c:v>
                </c:pt>
                <c:pt idx="4">
                  <c:v>34505.451999999997</c:v>
                </c:pt>
              </c:numCache>
            </c:numRef>
          </c:val>
        </c:ser>
        <c:ser>
          <c:idx val="1"/>
          <c:order val="1"/>
          <c:tx>
            <c:strRef>
              <c:f>kpi!$K$16</c:f>
              <c:strCache>
                <c:ptCount val="1"/>
                <c:pt idx="0">
                  <c:v>Sum of ShippingCost</c:v>
                </c:pt>
              </c:strCache>
            </c:strRef>
          </c:tx>
          <c:spPr>
            <a:solidFill>
              <a:schemeClr val="accent6">
                <a:lumMod val="60000"/>
                <a:lumOff val="40000"/>
              </a:schemeClr>
            </a:solidFill>
          </c:spPr>
          <c:invertIfNegative val="0"/>
          <c:cat>
            <c:strRef>
              <c:f>kpi!$I$17:$I$22</c:f>
              <c:strCache>
                <c:ptCount val="5"/>
                <c:pt idx="0">
                  <c:v>Bihar</c:v>
                </c:pt>
                <c:pt idx="1">
                  <c:v>Gonda</c:v>
                </c:pt>
                <c:pt idx="2">
                  <c:v>Kanpur</c:v>
                </c:pt>
                <c:pt idx="3">
                  <c:v>Lucknow</c:v>
                </c:pt>
                <c:pt idx="4">
                  <c:v>Mumbai</c:v>
                </c:pt>
              </c:strCache>
            </c:strRef>
          </c:cat>
          <c:val>
            <c:numRef>
              <c:f>kpi!$K$17:$K$22</c:f>
              <c:numCache>
                <c:formatCode>General</c:formatCode>
                <c:ptCount val="5"/>
                <c:pt idx="0">
                  <c:v>717111</c:v>
                </c:pt>
                <c:pt idx="1">
                  <c:v>1063977</c:v>
                </c:pt>
                <c:pt idx="2">
                  <c:v>147266</c:v>
                </c:pt>
                <c:pt idx="3">
                  <c:v>61241</c:v>
                </c:pt>
                <c:pt idx="4">
                  <c:v>44858</c:v>
                </c:pt>
              </c:numCache>
            </c:numRef>
          </c:val>
        </c:ser>
        <c:dLbls>
          <c:showLegendKey val="0"/>
          <c:showVal val="0"/>
          <c:showCatName val="0"/>
          <c:showSerName val="0"/>
          <c:showPercent val="0"/>
          <c:showBubbleSize val="0"/>
        </c:dLbls>
        <c:gapWidth val="150"/>
        <c:shape val="cone"/>
        <c:axId val="222148864"/>
        <c:axId val="222150656"/>
        <c:axId val="0"/>
      </c:bar3DChart>
      <c:catAx>
        <c:axId val="222148864"/>
        <c:scaling>
          <c:orientation val="minMax"/>
        </c:scaling>
        <c:delete val="0"/>
        <c:axPos val="b"/>
        <c:majorTickMark val="out"/>
        <c:minorTickMark val="none"/>
        <c:tickLblPos val="nextTo"/>
        <c:txPr>
          <a:bodyPr/>
          <a:lstStyle/>
          <a:p>
            <a:pPr>
              <a:defRPr b="1"/>
            </a:pPr>
            <a:endParaRPr lang="en-US"/>
          </a:p>
        </c:txPr>
        <c:crossAx val="222150656"/>
        <c:crosses val="autoZero"/>
        <c:auto val="1"/>
        <c:lblAlgn val="ctr"/>
        <c:lblOffset val="100"/>
        <c:noMultiLvlLbl val="0"/>
      </c:catAx>
      <c:valAx>
        <c:axId val="222150656"/>
        <c:scaling>
          <c:orientation val="minMax"/>
        </c:scaling>
        <c:delete val="0"/>
        <c:axPos val="l"/>
        <c:numFmt formatCode="General" sourceLinked="1"/>
        <c:majorTickMark val="out"/>
        <c:minorTickMark val="none"/>
        <c:tickLblPos val="nextTo"/>
        <c:txPr>
          <a:bodyPr/>
          <a:lstStyle/>
          <a:p>
            <a:pPr>
              <a:defRPr b="1"/>
            </a:pPr>
            <a:endParaRPr lang="en-US"/>
          </a:p>
        </c:txPr>
        <c:crossAx val="222148864"/>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6"/>
    </mc:Choice>
    <mc:Fallback>
      <c:style val="6"/>
    </mc:Fallback>
  </mc:AlternateContent>
  <c:pivotSource>
    <c:name>[random data 2.xlsx]kpi!gender</c:name>
    <c:fmtId val="3"/>
  </c:pivotSource>
  <c:chart>
    <c:title>
      <c:tx>
        <c:rich>
          <a:bodyPr/>
          <a:lstStyle/>
          <a:p>
            <a:pPr>
              <a:defRPr>
                <a:solidFill>
                  <a:srgbClr val="C00000"/>
                </a:solidFill>
              </a:defRPr>
            </a:pPr>
            <a:r>
              <a:rPr lang="en-IN">
                <a:solidFill>
                  <a:srgbClr val="C00000"/>
                </a:solidFill>
              </a:rPr>
              <a:t>Male</a:t>
            </a:r>
            <a:r>
              <a:rPr lang="en-IN" baseline="0">
                <a:solidFill>
                  <a:srgbClr val="C00000"/>
                </a:solidFill>
              </a:rPr>
              <a:t> vs Female</a:t>
            </a:r>
            <a:endParaRPr lang="en-IN">
              <a:solidFill>
                <a:srgbClr val="C00000"/>
              </a:solidFill>
            </a:endParaRPr>
          </a:p>
        </c:rich>
      </c:tx>
      <c:layout>
        <c:manualLayout>
          <c:xMode val="edge"/>
          <c:yMode val="edge"/>
          <c:x val="0.26949330853380737"/>
          <c:y val="4.6090893419345476E-2"/>
        </c:manualLayout>
      </c:layout>
      <c:overlay val="0"/>
      <c:spPr>
        <a:solidFill>
          <a:schemeClr val="bg2"/>
        </a:solidFill>
      </c:spPr>
    </c:title>
    <c:autoTitleDeleted val="0"/>
    <c:pivotFmts>
      <c:pivotFmt>
        <c:idx val="0"/>
        <c:marker>
          <c:symbol val="none"/>
        </c:marker>
        <c:dLbl>
          <c:idx val="0"/>
          <c:spPr>
            <a:solidFill>
              <a:schemeClr val="bg2">
                <a:lumMod val="25000"/>
              </a:schemeClr>
            </a:solidFill>
          </c:spPr>
          <c:txPr>
            <a:bodyPr/>
            <a:lstStyle/>
            <a:p>
              <a:pPr>
                <a:defRPr>
                  <a:solidFill>
                    <a:schemeClr val="bg1"/>
                  </a:solidFill>
                </a:defRPr>
              </a:pPr>
              <a:endParaRPr lang="en-US"/>
            </a:p>
          </c:txPr>
          <c:showLegendKey val="0"/>
          <c:showVal val="0"/>
          <c:showCatName val="0"/>
          <c:showSerName val="0"/>
          <c:showPercent val="1"/>
          <c:showBubbleSize val="0"/>
        </c:dLbl>
      </c:pivotFmt>
      <c:pivotFmt>
        <c:idx val="1"/>
      </c:pivotFmt>
      <c:pivotFmt>
        <c:idx val="2"/>
        <c:spPr>
          <a:solidFill>
            <a:schemeClr val="accent2"/>
          </a:solidFill>
        </c:spPr>
      </c:pivotFmt>
      <c:pivotFmt>
        <c:idx val="3"/>
        <c:spPr>
          <a:solidFill>
            <a:schemeClr val="accent2">
              <a:lumMod val="50000"/>
            </a:schemeClr>
          </a:solidFill>
        </c:spPr>
      </c:pivotFmt>
      <c:pivotFmt>
        <c:idx val="4"/>
        <c:spPr>
          <a:solidFill>
            <a:schemeClr val="accent3">
              <a:lumMod val="75000"/>
            </a:schemeClr>
          </a:solidFill>
        </c:spPr>
      </c:pivotFmt>
      <c:pivotFmt>
        <c:idx val="5"/>
        <c:marker>
          <c:symbol val="none"/>
        </c:marker>
        <c:dLbl>
          <c:idx val="0"/>
          <c:spPr>
            <a:solidFill>
              <a:schemeClr val="bg2">
                <a:lumMod val="25000"/>
              </a:schemeClr>
            </a:solidFill>
          </c:spPr>
          <c:txPr>
            <a:bodyPr/>
            <a:lstStyle/>
            <a:p>
              <a:pPr>
                <a:defRPr>
                  <a:solidFill>
                    <a:schemeClr val="bg1"/>
                  </a:solidFill>
                </a:defRPr>
              </a:pPr>
              <a:endParaRPr lang="en-US"/>
            </a:p>
          </c:txPr>
          <c:showLegendKey val="0"/>
          <c:showVal val="0"/>
          <c:showCatName val="0"/>
          <c:showSerName val="0"/>
          <c:showPercent val="1"/>
          <c:showBubbleSize val="0"/>
        </c:dLbl>
      </c:pivotFmt>
      <c:pivotFmt>
        <c:idx val="6"/>
        <c:spPr>
          <a:solidFill>
            <a:schemeClr val="accent2">
              <a:lumMod val="50000"/>
            </a:schemeClr>
          </a:solidFill>
        </c:spPr>
      </c:pivotFmt>
      <c:pivotFmt>
        <c:idx val="7"/>
        <c:spPr>
          <a:solidFill>
            <a:schemeClr val="accent3">
              <a:lumMod val="75000"/>
            </a:schemeClr>
          </a:solidFill>
        </c:spPr>
      </c:pivotFmt>
      <c:pivotFmt>
        <c:idx val="8"/>
        <c:spPr>
          <a:solidFill>
            <a:schemeClr val="accent2"/>
          </a:solidFill>
        </c:spPr>
      </c:pivotFmt>
      <c:pivotFmt>
        <c:idx val="9"/>
        <c:marker>
          <c:symbol val="none"/>
        </c:marker>
        <c:dLbl>
          <c:idx val="0"/>
          <c:layout/>
          <c:spPr>
            <a:solidFill>
              <a:schemeClr val="bg2">
                <a:lumMod val="25000"/>
              </a:schemeClr>
            </a:solidFill>
          </c:spPr>
          <c:txPr>
            <a:bodyPr/>
            <a:lstStyle/>
            <a:p>
              <a:pPr>
                <a:defRPr>
                  <a:solidFill>
                    <a:schemeClr val="bg1"/>
                  </a:solidFill>
                </a:defRPr>
              </a:pPr>
              <a:endParaRPr lang="en-US"/>
            </a:p>
          </c:txPr>
          <c:showLegendKey val="0"/>
          <c:showVal val="0"/>
          <c:showCatName val="0"/>
          <c:showSerName val="0"/>
          <c:showPercent val="1"/>
          <c:showBubbleSize val="0"/>
        </c:dLbl>
      </c:pivotFmt>
      <c:pivotFmt>
        <c:idx val="10"/>
        <c:spPr>
          <a:solidFill>
            <a:schemeClr val="accent2">
              <a:lumMod val="50000"/>
            </a:schemeClr>
          </a:solidFill>
        </c:spPr>
      </c:pivotFmt>
      <c:pivotFmt>
        <c:idx val="11"/>
        <c:spPr>
          <a:solidFill>
            <a:schemeClr val="accent3">
              <a:lumMod val="75000"/>
            </a:schemeClr>
          </a:solidFill>
        </c:spPr>
      </c:pivotFmt>
      <c:pivotFmt>
        <c:idx val="12"/>
        <c:spPr>
          <a:solidFill>
            <a:schemeClr val="accent2"/>
          </a:solidFill>
        </c:spPr>
      </c:pivotFmt>
    </c:pivotFmts>
    <c:plotArea>
      <c:layout/>
      <c:doughnutChart>
        <c:varyColors val="1"/>
        <c:ser>
          <c:idx val="0"/>
          <c:order val="0"/>
          <c:tx>
            <c:strRef>
              <c:f>kpi!$V$18</c:f>
              <c:strCache>
                <c:ptCount val="1"/>
                <c:pt idx="0">
                  <c:v>Total</c:v>
                </c:pt>
              </c:strCache>
            </c:strRef>
          </c:tx>
          <c:dPt>
            <c:idx val="0"/>
            <c:bubble3D val="0"/>
            <c:spPr>
              <a:solidFill>
                <a:schemeClr val="accent2">
                  <a:lumMod val="50000"/>
                </a:schemeClr>
              </a:solidFill>
            </c:spPr>
          </c:dPt>
          <c:dPt>
            <c:idx val="1"/>
            <c:bubble3D val="0"/>
            <c:spPr>
              <a:solidFill>
                <a:schemeClr val="accent3">
                  <a:lumMod val="75000"/>
                </a:schemeClr>
              </a:solidFill>
            </c:spPr>
          </c:dPt>
          <c:dPt>
            <c:idx val="2"/>
            <c:bubble3D val="0"/>
            <c:spPr>
              <a:solidFill>
                <a:schemeClr val="accent2"/>
              </a:solidFill>
            </c:spPr>
          </c:dPt>
          <c:dLbls>
            <c:spPr>
              <a:solidFill>
                <a:schemeClr val="bg2">
                  <a:lumMod val="25000"/>
                </a:schemeClr>
              </a:solidFill>
            </c:spPr>
            <c:txPr>
              <a:bodyPr/>
              <a:lstStyle/>
              <a:p>
                <a:pPr>
                  <a:defRPr>
                    <a:solidFill>
                      <a:schemeClr val="bg1"/>
                    </a:solidFill>
                  </a:defRPr>
                </a:pPr>
                <a:endParaRPr lang="en-US"/>
              </a:p>
            </c:txPr>
            <c:showLegendKey val="0"/>
            <c:showVal val="0"/>
            <c:showCatName val="0"/>
            <c:showSerName val="0"/>
            <c:showPercent val="1"/>
            <c:showBubbleSize val="0"/>
            <c:showLeaderLines val="1"/>
          </c:dLbls>
          <c:cat>
            <c:strRef>
              <c:f>kpi!$U$19:$U$22</c:f>
              <c:strCache>
                <c:ptCount val="3"/>
                <c:pt idx="0">
                  <c:v>Female</c:v>
                </c:pt>
                <c:pt idx="1">
                  <c:v>Female </c:v>
                </c:pt>
                <c:pt idx="2">
                  <c:v>Male</c:v>
                </c:pt>
              </c:strCache>
            </c:strRef>
          </c:cat>
          <c:val>
            <c:numRef>
              <c:f>kpi!$V$19:$V$22</c:f>
              <c:numCache>
                <c:formatCode>General</c:formatCode>
                <c:ptCount val="3"/>
                <c:pt idx="0">
                  <c:v>32464.654000000002</c:v>
                </c:pt>
                <c:pt idx="1">
                  <c:v>58027.035000000003</c:v>
                </c:pt>
                <c:pt idx="2">
                  <c:v>165246.74400000001</c:v>
                </c:pt>
              </c:numCache>
            </c:numRef>
          </c:val>
        </c:ser>
        <c:dLbls>
          <c:showLegendKey val="0"/>
          <c:showVal val="0"/>
          <c:showCatName val="0"/>
          <c:showSerName val="0"/>
          <c:showPercent val="0"/>
          <c:showBubbleSize val="0"/>
          <c:showLeaderLines val="1"/>
        </c:dLbls>
        <c:firstSliceAng val="0"/>
        <c:holeSize val="50"/>
      </c:doughnutChart>
    </c:plotArea>
    <c:legend>
      <c:legendPos val="b"/>
      <c:layout/>
      <c:overlay val="0"/>
    </c:legend>
    <c:plotVisOnly val="1"/>
    <c:dispBlanksAs val="gap"/>
    <c:showDLblsOverMax val="0"/>
  </c:chart>
  <c:spPr>
    <a:solidFill>
      <a:schemeClr val="accent3">
        <a:lumMod val="60000"/>
        <a:lumOff val="40000"/>
      </a:schemeClr>
    </a:soli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1"/>
    </mc:Choice>
    <mc:Fallback>
      <c:style val="1"/>
    </mc:Fallback>
  </mc:AlternateContent>
  <c:pivotSource>
    <c:name>[random data 2.xlsx]kpi!regionshippingcost</c:name>
    <c:fmtId val="3"/>
  </c:pivotSource>
  <c:chart>
    <c:title>
      <c:tx>
        <c:rich>
          <a:bodyPr/>
          <a:lstStyle/>
          <a:p>
            <a:pPr>
              <a:defRPr>
                <a:solidFill>
                  <a:srgbClr val="C00000"/>
                </a:solidFill>
              </a:defRPr>
            </a:pPr>
            <a:r>
              <a:rPr lang="en-US">
                <a:solidFill>
                  <a:srgbClr val="C00000"/>
                </a:solidFill>
              </a:rPr>
              <a:t>Shipping Cost/Region</a:t>
            </a:r>
          </a:p>
        </c:rich>
      </c:tx>
      <c:layout>
        <c:manualLayout>
          <c:xMode val="edge"/>
          <c:yMode val="edge"/>
          <c:x val="0.27280479435988464"/>
          <c:y val="6.2306626521844405E-2"/>
        </c:manualLayout>
      </c:layout>
      <c:overlay val="0"/>
      <c:spPr>
        <a:solidFill>
          <a:schemeClr val="accent1">
            <a:lumMod val="20000"/>
            <a:lumOff val="80000"/>
          </a:schemeClr>
        </a:solidFill>
      </c:spPr>
    </c:title>
    <c:autoTitleDeleted val="0"/>
    <c:pivotFmts>
      <c:pivotFmt>
        <c:idx val="0"/>
        <c:dLbl>
          <c:idx val="0"/>
          <c:showLegendKey val="0"/>
          <c:showVal val="1"/>
          <c:showCatName val="0"/>
          <c:showSerName val="0"/>
          <c:showPercent val="0"/>
          <c:showBubbleSize val="0"/>
        </c:dLbl>
      </c:pivotFmt>
      <c:pivotFmt>
        <c:idx val="1"/>
        <c:dLbl>
          <c:idx val="0"/>
          <c:layout>
            <c:manualLayout>
              <c:x val="-1.0802467385621434E-2"/>
              <c:y val="-5.4718029806246474E-2"/>
            </c:manualLayout>
          </c:layout>
          <c:showLegendKey val="0"/>
          <c:showVal val="1"/>
          <c:showCatName val="0"/>
          <c:showSerName val="0"/>
          <c:showPercent val="0"/>
          <c:showBubbleSize val="0"/>
        </c:dLbl>
      </c:pivotFmt>
      <c:pivotFmt>
        <c:idx val="2"/>
        <c:dLbl>
          <c:idx val="0"/>
          <c:layout>
            <c:manualLayout>
              <c:x val="-1.4403289847495246E-2"/>
              <c:y val="-4.6901168405354118E-2"/>
            </c:manualLayout>
          </c:layout>
          <c:showLegendKey val="0"/>
          <c:showVal val="1"/>
          <c:showCatName val="0"/>
          <c:showSerName val="0"/>
          <c:showPercent val="0"/>
          <c:showBubbleSize val="0"/>
        </c:dLbl>
      </c:pivotFmt>
      <c:pivotFmt>
        <c:idx val="3"/>
        <c:dLbl>
          <c:idx val="0"/>
          <c:layout>
            <c:manualLayout>
              <c:x val="-3.6008224618738114E-3"/>
              <c:y val="-4.2992737704907941E-2"/>
            </c:manualLayout>
          </c:layout>
          <c:showLegendKey val="0"/>
          <c:showVal val="1"/>
          <c:showCatName val="0"/>
          <c:showSerName val="0"/>
          <c:showPercent val="0"/>
          <c:showBubbleSize val="0"/>
        </c:dLbl>
      </c:pivotFmt>
      <c:pivotFmt>
        <c:idx val="4"/>
        <c:dLbl>
          <c:idx val="0"/>
          <c:layout>
            <c:manualLayout>
              <c:x val="0"/>
              <c:y val="-3.1267445603569415E-2"/>
            </c:manualLayout>
          </c:layout>
          <c:showLegendKey val="0"/>
          <c:showVal val="1"/>
          <c:showCatName val="0"/>
          <c:showSerName val="0"/>
          <c:showPercent val="0"/>
          <c:showBubbleSize val="0"/>
        </c:dLbl>
      </c:pivotFmt>
      <c:pivotFmt>
        <c:idx val="5"/>
        <c:dLbl>
          <c:idx val="0"/>
          <c:spPr/>
          <c:txPr>
            <a:bodyPr/>
            <a:lstStyle/>
            <a:p>
              <a:pPr>
                <a:defRPr/>
              </a:pPr>
              <a:endParaRPr lang="en-US"/>
            </a:p>
          </c:txPr>
          <c:showLegendKey val="0"/>
          <c:showVal val="1"/>
          <c:showCatName val="0"/>
          <c:showSerName val="0"/>
          <c:showPercent val="0"/>
          <c:showBubbleSize val="0"/>
        </c:dLbl>
      </c:pivotFmt>
      <c:pivotFmt>
        <c:idx val="6"/>
        <c:dLbl>
          <c:idx val="0"/>
          <c:layout>
            <c:manualLayout>
              <c:x val="-1.0802467385621434E-2"/>
              <c:y val="-5.4718029806246474E-2"/>
            </c:manualLayout>
          </c:layout>
          <c:showLegendKey val="0"/>
          <c:showVal val="1"/>
          <c:showCatName val="0"/>
          <c:showSerName val="0"/>
          <c:showPercent val="0"/>
          <c:showBubbleSize val="0"/>
        </c:dLbl>
      </c:pivotFmt>
      <c:pivotFmt>
        <c:idx val="7"/>
        <c:dLbl>
          <c:idx val="0"/>
          <c:layout>
            <c:manualLayout>
              <c:x val="-1.4403289847495246E-2"/>
              <c:y val="-4.6901168405354118E-2"/>
            </c:manualLayout>
          </c:layout>
          <c:showLegendKey val="0"/>
          <c:showVal val="1"/>
          <c:showCatName val="0"/>
          <c:showSerName val="0"/>
          <c:showPercent val="0"/>
          <c:showBubbleSize val="0"/>
        </c:dLbl>
      </c:pivotFmt>
      <c:pivotFmt>
        <c:idx val="8"/>
        <c:dLbl>
          <c:idx val="0"/>
          <c:layout>
            <c:manualLayout>
              <c:x val="-3.6008224618738114E-3"/>
              <c:y val="-4.2992737704907941E-2"/>
            </c:manualLayout>
          </c:layout>
          <c:showLegendKey val="0"/>
          <c:showVal val="1"/>
          <c:showCatName val="0"/>
          <c:showSerName val="0"/>
          <c:showPercent val="0"/>
          <c:showBubbleSize val="0"/>
        </c:dLbl>
      </c:pivotFmt>
      <c:pivotFmt>
        <c:idx val="9"/>
        <c:dLbl>
          <c:idx val="0"/>
          <c:layout>
            <c:manualLayout>
              <c:x val="0"/>
              <c:y val="-3.1267445603569415E-2"/>
            </c:manualLayout>
          </c:layout>
          <c:showLegendKey val="0"/>
          <c:showVal val="1"/>
          <c:showCatName val="0"/>
          <c:showSerName val="0"/>
          <c:showPercent val="0"/>
          <c:showBubbleSize val="0"/>
        </c:dLbl>
      </c:pivotFmt>
      <c:pivotFmt>
        <c:idx val="10"/>
        <c:dLbl>
          <c:idx val="0"/>
          <c:layout/>
          <c:spPr/>
          <c:txPr>
            <a:bodyPr/>
            <a:lstStyle/>
            <a:p>
              <a:pPr>
                <a:defRPr/>
              </a:pPr>
              <a:endParaRPr lang="en-US"/>
            </a:p>
          </c:txPr>
          <c:showLegendKey val="0"/>
          <c:showVal val="1"/>
          <c:showCatName val="0"/>
          <c:showSerName val="0"/>
          <c:showPercent val="0"/>
          <c:showBubbleSize val="0"/>
        </c:dLbl>
      </c:pivotFmt>
      <c:pivotFmt>
        <c:idx val="11"/>
        <c:dLbl>
          <c:idx val="0"/>
          <c:layout>
            <c:manualLayout>
              <c:x val="-1.0802467385621434E-2"/>
              <c:y val="-5.4718029806246474E-2"/>
            </c:manualLayout>
          </c:layout>
          <c:showLegendKey val="0"/>
          <c:showVal val="1"/>
          <c:showCatName val="0"/>
          <c:showSerName val="0"/>
          <c:showPercent val="0"/>
          <c:showBubbleSize val="0"/>
        </c:dLbl>
      </c:pivotFmt>
      <c:pivotFmt>
        <c:idx val="12"/>
        <c:dLbl>
          <c:idx val="0"/>
          <c:layout>
            <c:manualLayout>
              <c:x val="-1.4403289847495246E-2"/>
              <c:y val="-4.6901168405354118E-2"/>
            </c:manualLayout>
          </c:layout>
          <c:showLegendKey val="0"/>
          <c:showVal val="1"/>
          <c:showCatName val="0"/>
          <c:showSerName val="0"/>
          <c:showPercent val="0"/>
          <c:showBubbleSize val="0"/>
        </c:dLbl>
      </c:pivotFmt>
      <c:pivotFmt>
        <c:idx val="13"/>
        <c:dLbl>
          <c:idx val="0"/>
          <c:layout>
            <c:manualLayout>
              <c:x val="-3.6008224618738114E-3"/>
              <c:y val="-4.2992737704907941E-2"/>
            </c:manualLayout>
          </c:layout>
          <c:showLegendKey val="0"/>
          <c:showVal val="1"/>
          <c:showCatName val="0"/>
          <c:showSerName val="0"/>
          <c:showPercent val="0"/>
          <c:showBubbleSize val="0"/>
        </c:dLbl>
      </c:pivotFmt>
      <c:pivotFmt>
        <c:idx val="14"/>
        <c:dLbl>
          <c:idx val="0"/>
          <c:layout>
            <c:manualLayout>
              <c:x val="0"/>
              <c:y val="-3.1267445603569415E-2"/>
            </c:manualLayout>
          </c:layout>
          <c:showLegendKey val="0"/>
          <c:showVal val="1"/>
          <c:showCatName val="0"/>
          <c:showSerName val="0"/>
          <c:showPercent val="0"/>
          <c:showBubbleSize val="0"/>
        </c:dLbl>
      </c:pivotFmt>
    </c:pivotFmts>
    <c:plotArea>
      <c:layout>
        <c:manualLayout>
          <c:layoutTarget val="inner"/>
          <c:xMode val="edge"/>
          <c:yMode val="edge"/>
          <c:x val="0.17539532326985072"/>
          <c:y val="0.16909200046450978"/>
          <c:w val="0.78662602198466614"/>
          <c:h val="0.73023594755089749"/>
        </c:manualLayout>
      </c:layout>
      <c:lineChart>
        <c:grouping val="standard"/>
        <c:varyColors val="0"/>
        <c:ser>
          <c:idx val="0"/>
          <c:order val="0"/>
          <c:tx>
            <c:strRef>
              <c:f>kpi!$AB$17</c:f>
              <c:strCache>
                <c:ptCount val="1"/>
                <c:pt idx="0">
                  <c:v>Total</c:v>
                </c:pt>
              </c:strCache>
            </c:strRef>
          </c:tx>
          <c:dLbls>
            <c:dLbl>
              <c:idx val="1"/>
              <c:layout>
                <c:manualLayout>
                  <c:x val="-1.0802467385621434E-2"/>
                  <c:y val="-5.4718029806246474E-2"/>
                </c:manualLayout>
              </c:layout>
              <c:showLegendKey val="0"/>
              <c:showVal val="1"/>
              <c:showCatName val="0"/>
              <c:showSerName val="0"/>
              <c:showPercent val="0"/>
              <c:showBubbleSize val="0"/>
            </c:dLbl>
            <c:dLbl>
              <c:idx val="2"/>
              <c:layout>
                <c:manualLayout>
                  <c:x val="-1.4403289847495246E-2"/>
                  <c:y val="-4.6901168405354118E-2"/>
                </c:manualLayout>
              </c:layout>
              <c:showLegendKey val="0"/>
              <c:showVal val="1"/>
              <c:showCatName val="0"/>
              <c:showSerName val="0"/>
              <c:showPercent val="0"/>
              <c:showBubbleSize val="0"/>
            </c:dLbl>
            <c:dLbl>
              <c:idx val="3"/>
              <c:layout>
                <c:manualLayout>
                  <c:x val="-3.6008224618738114E-3"/>
                  <c:y val="-4.2992737704907941E-2"/>
                </c:manualLayout>
              </c:layout>
              <c:showLegendKey val="0"/>
              <c:showVal val="1"/>
              <c:showCatName val="0"/>
              <c:showSerName val="0"/>
              <c:showPercent val="0"/>
              <c:showBubbleSize val="0"/>
            </c:dLbl>
            <c:dLbl>
              <c:idx val="4"/>
              <c:layout>
                <c:manualLayout>
                  <c:x val="0"/>
                  <c:y val="-3.1267445603569415E-2"/>
                </c:manualLayout>
              </c:layout>
              <c:showLegendKey val="0"/>
              <c:showVal val="1"/>
              <c:showCatName val="0"/>
              <c:showSerName val="0"/>
              <c:showPercent val="0"/>
              <c:showBubbleSize val="0"/>
            </c:dLbl>
            <c:spPr/>
            <c:txPr>
              <a:bodyPr/>
              <a:lstStyle/>
              <a:p>
                <a:pPr>
                  <a:defRPr/>
                </a:pPr>
                <a:endParaRPr lang="en-US"/>
              </a:p>
            </c:txPr>
            <c:showLegendKey val="0"/>
            <c:showVal val="1"/>
            <c:showCatName val="0"/>
            <c:showSerName val="0"/>
            <c:showPercent val="0"/>
            <c:showBubbleSize val="0"/>
            <c:showLeaderLines val="0"/>
          </c:dLbls>
          <c:cat>
            <c:strRef>
              <c:f>kpi!$AA$18:$AA$23</c:f>
              <c:strCache>
                <c:ptCount val="5"/>
                <c:pt idx="0">
                  <c:v>Central</c:v>
                </c:pt>
                <c:pt idx="1">
                  <c:v>East</c:v>
                </c:pt>
                <c:pt idx="2">
                  <c:v>North</c:v>
                </c:pt>
                <c:pt idx="3">
                  <c:v>South</c:v>
                </c:pt>
                <c:pt idx="4">
                  <c:v>West</c:v>
                </c:pt>
              </c:strCache>
            </c:strRef>
          </c:cat>
          <c:val>
            <c:numRef>
              <c:f>kpi!$AB$18:$AB$23</c:f>
              <c:numCache>
                <c:formatCode>0.00%</c:formatCode>
                <c:ptCount val="5"/>
                <c:pt idx="0">
                  <c:v>0.98968174737877945</c:v>
                </c:pt>
                <c:pt idx="1">
                  <c:v>2.3121694135966766E-3</c:v>
                </c:pt>
                <c:pt idx="2">
                  <c:v>2.6228180252873866E-3</c:v>
                </c:pt>
                <c:pt idx="3">
                  <c:v>3.0745364970338465E-3</c:v>
                </c:pt>
                <c:pt idx="4">
                  <c:v>2.308728685302634E-3</c:v>
                </c:pt>
              </c:numCache>
            </c:numRef>
          </c:val>
          <c:smooth val="0"/>
        </c:ser>
        <c:dLbls>
          <c:showLegendKey val="0"/>
          <c:showVal val="1"/>
          <c:showCatName val="0"/>
          <c:showSerName val="0"/>
          <c:showPercent val="0"/>
          <c:showBubbleSize val="0"/>
        </c:dLbls>
        <c:marker val="1"/>
        <c:smooth val="0"/>
        <c:axId val="222622080"/>
        <c:axId val="222624768"/>
      </c:lineChart>
      <c:catAx>
        <c:axId val="222622080"/>
        <c:scaling>
          <c:orientation val="minMax"/>
        </c:scaling>
        <c:delete val="0"/>
        <c:axPos val="b"/>
        <c:majorTickMark val="out"/>
        <c:minorTickMark val="none"/>
        <c:tickLblPos val="nextTo"/>
        <c:crossAx val="222624768"/>
        <c:crosses val="autoZero"/>
        <c:auto val="1"/>
        <c:lblAlgn val="ctr"/>
        <c:lblOffset val="100"/>
        <c:noMultiLvlLbl val="0"/>
      </c:catAx>
      <c:valAx>
        <c:axId val="222624768"/>
        <c:scaling>
          <c:orientation val="minMax"/>
        </c:scaling>
        <c:delete val="0"/>
        <c:axPos val="l"/>
        <c:numFmt formatCode="0.00%" sourceLinked="1"/>
        <c:majorTickMark val="out"/>
        <c:minorTickMark val="none"/>
        <c:tickLblPos val="nextTo"/>
        <c:crossAx val="222622080"/>
        <c:crosses val="autoZero"/>
        <c:crossBetween val="between"/>
      </c:valAx>
      <c:spPr>
        <a:solidFill>
          <a:schemeClr val="accent3">
            <a:lumMod val="20000"/>
            <a:lumOff val="80000"/>
          </a:schemeClr>
        </a:solidFill>
      </c:spPr>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42</xdr:col>
      <xdr:colOff>78519</xdr:colOff>
      <xdr:row>50</xdr:row>
      <xdr:rowOff>36776</xdr:rowOff>
    </xdr:from>
    <xdr:to>
      <xdr:col>44</xdr:col>
      <xdr:colOff>204643</xdr:colOff>
      <xdr:row>54</xdr:row>
      <xdr:rowOff>139149</xdr:rowOff>
    </xdr:to>
    <mc:AlternateContent xmlns:mc="http://schemas.openxmlformats.org/markup-compatibility/2006" xmlns:a14="http://schemas.microsoft.com/office/drawing/2010/main">
      <mc:Choice Requires="a14">
        <xdr:graphicFrame macro="">
          <xdr:nvGraphicFramePr>
            <xdr:cNvPr id="3" name="Names"/>
            <xdr:cNvGraphicFramePr/>
          </xdr:nvGraphicFramePr>
          <xdr:xfrm>
            <a:off x="0" y="0"/>
            <a:ext cx="0" cy="0"/>
          </xdr:xfrm>
          <a:graphic>
            <a:graphicData uri="http://schemas.microsoft.com/office/drawing/2010/slicer">
              <sle:slicer xmlns:sle="http://schemas.microsoft.com/office/drawing/2010/slicer" name="Names"/>
            </a:graphicData>
          </a:graphic>
        </xdr:graphicFrame>
      </mc:Choice>
      <mc:Fallback xmlns="">
        <xdr:sp macro="" textlink="">
          <xdr:nvSpPr>
            <xdr:cNvPr id="0" name=""/>
            <xdr:cNvSpPr>
              <a:spLocks noTextEdit="1"/>
            </xdr:cNvSpPr>
          </xdr:nvSpPr>
          <xdr:spPr>
            <a:xfrm>
              <a:off x="29157611" y="9362484"/>
              <a:ext cx="1828800" cy="829203"/>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27</xdr:col>
      <xdr:colOff>260131</xdr:colOff>
      <xdr:row>63</xdr:row>
      <xdr:rowOff>107732</xdr:rowOff>
    </xdr:from>
    <xdr:to>
      <xdr:col>33</xdr:col>
      <xdr:colOff>415158</xdr:colOff>
      <xdr:row>78</xdr:row>
      <xdr:rowOff>91966</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36</xdr:col>
      <xdr:colOff>425670</xdr:colOff>
      <xdr:row>47</xdr:row>
      <xdr:rowOff>178675</xdr:rowOff>
    </xdr:from>
    <xdr:to>
      <xdr:col>41</xdr:col>
      <xdr:colOff>252248</xdr:colOff>
      <xdr:row>68</xdr:row>
      <xdr:rowOff>21020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6037</xdr:colOff>
      <xdr:row>45</xdr:row>
      <xdr:rowOff>160910</xdr:rowOff>
    </xdr:from>
    <xdr:to>
      <xdr:col>1</xdr:col>
      <xdr:colOff>874507</xdr:colOff>
      <xdr:row>58</xdr:row>
      <xdr:rowOff>28699</xdr:rowOff>
    </xdr:to>
    <mc:AlternateContent xmlns:mc="http://schemas.openxmlformats.org/markup-compatibility/2006" xmlns:a14="http://schemas.microsoft.com/office/drawing/2010/main">
      <mc:Choice Requires="a14">
        <xdr:graphicFrame macro="">
          <xdr:nvGraphicFramePr>
            <xdr:cNvPr id="3"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037" y="8229145"/>
              <a:ext cx="1829324" cy="2198613"/>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1093834</xdr:colOff>
      <xdr:row>47</xdr:row>
      <xdr:rowOff>123171</xdr:rowOff>
    </xdr:from>
    <xdr:to>
      <xdr:col>7</xdr:col>
      <xdr:colOff>151262</xdr:colOff>
      <xdr:row>57</xdr:row>
      <xdr:rowOff>12458</xdr:rowOff>
    </xdr:to>
    <mc:AlternateContent xmlns:mc="http://schemas.openxmlformats.org/markup-compatibility/2006" xmlns:a14="http://schemas.microsoft.com/office/drawing/2010/main">
      <mc:Choice Requires="a14">
        <xdr:graphicFrame macro="">
          <xdr:nvGraphicFramePr>
            <xdr:cNvPr id="4" name="PaymentMethod"/>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7314525" y="8588298"/>
              <a:ext cx="1828337" cy="1690378"/>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553390</xdr:colOff>
      <xdr:row>47</xdr:row>
      <xdr:rowOff>65217</xdr:rowOff>
    </xdr:from>
    <xdr:to>
      <xdr:col>4</xdr:col>
      <xdr:colOff>841365</xdr:colOff>
      <xdr:row>56</xdr:row>
      <xdr:rowOff>98963</xdr:rowOff>
    </xdr:to>
    <mc:AlternateContent xmlns:mc="http://schemas.openxmlformats.org/markup-compatibility/2006" xmlns:a14="http://schemas.microsoft.com/office/drawing/2010/main">
      <mc:Choice Requires="a14">
        <xdr:graphicFrame macro="">
          <xdr:nvGraphicFramePr>
            <xdr:cNvPr id="6"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816543" y="8492041"/>
              <a:ext cx="1829905" cy="1647393"/>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269632</xdr:colOff>
      <xdr:row>4</xdr:row>
      <xdr:rowOff>76199</xdr:rowOff>
    </xdr:from>
    <xdr:to>
      <xdr:col>0</xdr:col>
      <xdr:colOff>1143000</xdr:colOff>
      <xdr:row>5</xdr:row>
      <xdr:rowOff>181707</xdr:rowOff>
    </xdr:to>
    <xdr:sp macro="" textlink="$A$2">
      <xdr:nvSpPr>
        <xdr:cNvPr id="2" name="TextBox 1"/>
        <xdr:cNvSpPr txBox="1"/>
      </xdr:nvSpPr>
      <xdr:spPr>
        <a:xfrm>
          <a:off x="269632" y="803030"/>
          <a:ext cx="873368" cy="2872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F990891-128B-4531-9EBA-F1399E40A2D5}" type="TxLink">
            <a:rPr lang="en-US" sz="1100" b="0" i="0" u="none" strike="noStrike">
              <a:solidFill>
                <a:srgbClr val="000000"/>
              </a:solidFill>
              <a:latin typeface="Calibri"/>
              <a:ea typeface="Calibri"/>
              <a:cs typeface="Calibri"/>
            </a:rPr>
            <a:pPr/>
            <a:t>255738.433</a:t>
          </a:fld>
          <a:endParaRPr lang="en-IN" sz="1100"/>
        </a:p>
      </xdr:txBody>
    </xdr:sp>
    <xdr:clientData/>
  </xdr:twoCellAnchor>
  <xdr:twoCellAnchor>
    <xdr:from>
      <xdr:col>2</xdr:col>
      <xdr:colOff>345832</xdr:colOff>
      <xdr:row>4</xdr:row>
      <xdr:rowOff>70339</xdr:rowOff>
    </xdr:from>
    <xdr:to>
      <xdr:col>2</xdr:col>
      <xdr:colOff>908538</xdr:colOff>
      <xdr:row>5</xdr:row>
      <xdr:rowOff>175847</xdr:rowOff>
    </xdr:to>
    <xdr:sp macro="" textlink="$C$2">
      <xdr:nvSpPr>
        <xdr:cNvPr id="7" name="TextBox 6"/>
        <xdr:cNvSpPr txBox="1"/>
      </xdr:nvSpPr>
      <xdr:spPr>
        <a:xfrm>
          <a:off x="3106617" y="797170"/>
          <a:ext cx="562706" cy="2872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AFB7A2C-A294-452B-B706-BBC109C3B6BD}" type="TxLink">
            <a:rPr lang="en-US" sz="1100" b="0" i="0" u="none" strike="noStrike">
              <a:solidFill>
                <a:srgbClr val="000000"/>
              </a:solidFill>
              <a:latin typeface="Calibri"/>
              <a:ea typeface="Calibri"/>
              <a:cs typeface="Calibri"/>
            </a:rPr>
            <a:pPr/>
            <a:t>2034453</a:t>
          </a:fld>
          <a:endParaRPr lang="en-US" sz="1100" b="0" i="0" u="none" strike="noStrike">
            <a:solidFill>
              <a:srgbClr val="000000"/>
            </a:solidFill>
            <a:latin typeface="Calibri"/>
            <a:ea typeface="Calibri"/>
            <a:cs typeface="Calibri"/>
          </a:endParaRPr>
        </a:p>
      </xdr:txBody>
    </xdr:sp>
    <xdr:clientData/>
  </xdr:twoCellAnchor>
  <xdr:twoCellAnchor>
    <xdr:from>
      <xdr:col>2</xdr:col>
      <xdr:colOff>386862</xdr:colOff>
      <xdr:row>10</xdr:row>
      <xdr:rowOff>99647</xdr:rowOff>
    </xdr:from>
    <xdr:to>
      <xdr:col>2</xdr:col>
      <xdr:colOff>791307</xdr:colOff>
      <xdr:row>12</xdr:row>
      <xdr:rowOff>23447</xdr:rowOff>
    </xdr:to>
    <xdr:sp macro="" textlink="$C$8">
      <xdr:nvSpPr>
        <xdr:cNvPr id="8" name="TextBox 7"/>
        <xdr:cNvSpPr txBox="1"/>
      </xdr:nvSpPr>
      <xdr:spPr>
        <a:xfrm>
          <a:off x="3147647" y="1916724"/>
          <a:ext cx="404445" cy="2872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8072609-656C-46A0-A92F-5C13673C9015}" type="TxLink">
            <a:rPr lang="en-US" sz="1100" b="0" i="0" u="none" strike="noStrike">
              <a:solidFill>
                <a:srgbClr val="000000"/>
              </a:solidFill>
              <a:latin typeface="Calibri"/>
              <a:ea typeface="Calibri"/>
              <a:cs typeface="Calibri"/>
            </a:rPr>
            <a:pPr/>
            <a:t>7.3</a:t>
          </a:fld>
          <a:endParaRPr lang="en-US" sz="1100" b="0" i="0" u="none" strike="noStrike">
            <a:solidFill>
              <a:srgbClr val="000000"/>
            </a:solidFill>
            <a:latin typeface="Calibri"/>
            <a:ea typeface="Calibri"/>
            <a:cs typeface="Calibri"/>
          </a:endParaRPr>
        </a:p>
      </xdr:txBody>
    </xdr:sp>
    <xdr:clientData/>
  </xdr:twoCellAnchor>
  <xdr:twoCellAnchor>
    <xdr:from>
      <xdr:col>0</xdr:col>
      <xdr:colOff>474786</xdr:colOff>
      <xdr:row>10</xdr:row>
      <xdr:rowOff>111369</xdr:rowOff>
    </xdr:from>
    <xdr:to>
      <xdr:col>0</xdr:col>
      <xdr:colOff>1037492</xdr:colOff>
      <xdr:row>12</xdr:row>
      <xdr:rowOff>35169</xdr:rowOff>
    </xdr:to>
    <xdr:sp macro="" textlink="$A$8">
      <xdr:nvSpPr>
        <xdr:cNvPr id="9" name="TextBox 8"/>
        <xdr:cNvSpPr txBox="1"/>
      </xdr:nvSpPr>
      <xdr:spPr>
        <a:xfrm>
          <a:off x="474786" y="1928446"/>
          <a:ext cx="562706" cy="2872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6B01BB8-D5CF-4D72-B8FF-2053902CFFCD}" type="TxLink">
            <a:rPr lang="en-US" sz="1100" b="0" i="0" u="none" strike="noStrike">
              <a:solidFill>
                <a:srgbClr val="000000"/>
              </a:solidFill>
              <a:latin typeface="Calibri"/>
              <a:ea typeface="Calibri"/>
              <a:cs typeface="Calibri"/>
            </a:rPr>
            <a:pPr/>
            <a:t>62154</a:t>
          </a:fld>
          <a:endParaRPr lang="en-US" sz="1100" b="0" i="0" u="none" strike="noStrike">
            <a:solidFill>
              <a:srgbClr val="000000"/>
            </a:solidFill>
            <a:latin typeface="Calibri"/>
            <a:ea typeface="Calibri"/>
            <a:cs typeface="Calibri"/>
          </a:endParaRPr>
        </a:p>
      </xdr:txBody>
    </xdr:sp>
    <xdr:clientData/>
  </xdr:twoCellAnchor>
  <xdr:twoCellAnchor>
    <xdr:from>
      <xdr:col>0</xdr:col>
      <xdr:colOff>0</xdr:colOff>
      <xdr:row>23</xdr:row>
      <xdr:rowOff>121024</xdr:rowOff>
    </xdr:from>
    <xdr:to>
      <xdr:col>3</xdr:col>
      <xdr:colOff>1308847</xdr:colOff>
      <xdr:row>38</xdr:row>
      <xdr:rowOff>174813</xdr:rowOff>
    </xdr:to>
    <xdr:graphicFrame macro="">
      <xdr:nvGraphicFramePr>
        <xdr:cNvPr id="15" name="Chart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582706</xdr:colOff>
      <xdr:row>23</xdr:row>
      <xdr:rowOff>175773</xdr:rowOff>
    </xdr:from>
    <xdr:to>
      <xdr:col>7</xdr:col>
      <xdr:colOff>755916</xdr:colOff>
      <xdr:row>38</xdr:row>
      <xdr:rowOff>148879</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26893</xdr:colOff>
      <xdr:row>24</xdr:row>
      <xdr:rowOff>19049</xdr:rowOff>
    </xdr:from>
    <xdr:to>
      <xdr:col>11</xdr:col>
      <xdr:colOff>19498</xdr:colOff>
      <xdr:row>39</xdr:row>
      <xdr:rowOff>19049</xdr:rowOff>
    </xdr:to>
    <xdr:graphicFrame macro="">
      <xdr:nvGraphicFramePr>
        <xdr:cNvPr id="18" name="Chart 1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668645</xdr:colOff>
      <xdr:row>24</xdr:row>
      <xdr:rowOff>62346</xdr:rowOff>
    </xdr:from>
    <xdr:to>
      <xdr:col>17</xdr:col>
      <xdr:colOff>284181</xdr:colOff>
      <xdr:row>39</xdr:row>
      <xdr:rowOff>103909</xdr:rowOff>
    </xdr:to>
    <xdr:graphicFrame macro="">
      <xdr:nvGraphicFramePr>
        <xdr:cNvPr id="19" name="Chart 1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107577</xdr:colOff>
      <xdr:row>24</xdr:row>
      <xdr:rowOff>4483</xdr:rowOff>
    </xdr:from>
    <xdr:to>
      <xdr:col>23</xdr:col>
      <xdr:colOff>179294</xdr:colOff>
      <xdr:row>39</xdr:row>
      <xdr:rowOff>58271</xdr:rowOff>
    </xdr:to>
    <xdr:graphicFrame macro="">
      <xdr:nvGraphicFramePr>
        <xdr:cNvPr id="20" name="Chart 1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560614</xdr:colOff>
      <xdr:row>24</xdr:row>
      <xdr:rowOff>81643</xdr:rowOff>
    </xdr:from>
    <xdr:to>
      <xdr:col>29</xdr:col>
      <xdr:colOff>27214</xdr:colOff>
      <xdr:row>42</xdr:row>
      <xdr:rowOff>0</xdr:rowOff>
    </xdr:to>
    <xdr:graphicFrame macro="">
      <xdr:nvGraphicFramePr>
        <xdr:cNvPr id="21" name="Chart 2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536987</xdr:colOff>
      <xdr:row>0</xdr:row>
      <xdr:rowOff>130438</xdr:rowOff>
    </xdr:from>
    <xdr:to>
      <xdr:col>5</xdr:col>
      <xdr:colOff>913505</xdr:colOff>
      <xdr:row>10</xdr:row>
      <xdr:rowOff>107578</xdr:rowOff>
    </xdr:to>
    <mc:AlternateContent xmlns:mc="http://schemas.openxmlformats.org/markup-compatibility/2006" xmlns:a14="http://schemas.microsoft.com/office/drawing/2010/main">
      <mc:Choice Requires="a14">
        <xdr:graphicFrame macro="">
          <xdr:nvGraphicFramePr>
            <xdr:cNvPr id="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302951" y="130438"/>
              <a:ext cx="1831245" cy="1778231"/>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107769</xdr:colOff>
      <xdr:row>0</xdr:row>
      <xdr:rowOff>64225</xdr:rowOff>
    </xdr:from>
    <xdr:to>
      <xdr:col>21</xdr:col>
      <xdr:colOff>176349</xdr:colOff>
      <xdr:row>3</xdr:row>
      <xdr:rowOff>26125</xdr:rowOff>
    </xdr:to>
    <xdr:sp macro="" textlink="">
      <xdr:nvSpPr>
        <xdr:cNvPr id="3" name="TextBox 2"/>
        <xdr:cNvSpPr txBox="1"/>
      </xdr:nvSpPr>
      <xdr:spPr>
        <a:xfrm>
          <a:off x="9861369" y="64225"/>
          <a:ext cx="3116580" cy="517071"/>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latin typeface="Algerian" panose="04020705040A02060702" pitchFamily="82" charset="0"/>
            </a:rPr>
            <a:t>SALES dASHBOARD</a:t>
          </a:r>
        </a:p>
      </xdr:txBody>
    </xdr:sp>
    <xdr:clientData/>
  </xdr:twoCellAnchor>
  <xdr:twoCellAnchor editAs="oneCell">
    <xdr:from>
      <xdr:col>0</xdr:col>
      <xdr:colOff>142603</xdr:colOff>
      <xdr:row>3</xdr:row>
      <xdr:rowOff>33746</xdr:rowOff>
    </xdr:from>
    <xdr:to>
      <xdr:col>3</xdr:col>
      <xdr:colOff>142603</xdr:colOff>
      <xdr:row>12</xdr:row>
      <xdr:rowOff>160083</xdr:rowOff>
    </xdr:to>
    <mc:AlternateContent xmlns:mc="http://schemas.openxmlformats.org/markup-compatibility/2006" xmlns:a14="http://schemas.microsoft.com/office/drawing/2010/main">
      <mc:Choice Requires="a14">
        <xdr:graphicFrame macro="">
          <xdr:nvGraphicFramePr>
            <xdr:cNvPr id="4"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42603" y="588917"/>
              <a:ext cx="1828800" cy="1791852"/>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127363</xdr:colOff>
      <xdr:row>13</xdr:row>
      <xdr:rowOff>87085</xdr:rowOff>
    </xdr:from>
    <xdr:to>
      <xdr:col>3</xdr:col>
      <xdr:colOff>125442</xdr:colOff>
      <xdr:row>25</xdr:row>
      <xdr:rowOff>91138</xdr:rowOff>
    </xdr:to>
    <mc:AlternateContent xmlns:mc="http://schemas.openxmlformats.org/markup-compatibility/2006" xmlns:a14="http://schemas.microsoft.com/office/drawing/2010/main">
      <mc:Choice Requires="a14">
        <xdr:graphicFrame macro="">
          <xdr:nvGraphicFramePr>
            <xdr:cNvPr id="5" name="Product 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27363" y="2492828"/>
              <a:ext cx="1826879" cy="2224739"/>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127363</xdr:colOff>
      <xdr:row>35</xdr:row>
      <xdr:rowOff>156754</xdr:rowOff>
    </xdr:from>
    <xdr:to>
      <xdr:col>3</xdr:col>
      <xdr:colOff>128468</xdr:colOff>
      <xdr:row>45</xdr:row>
      <xdr:rowOff>27213</xdr:rowOff>
    </xdr:to>
    <mc:AlternateContent xmlns:mc="http://schemas.openxmlformats.org/markup-compatibility/2006" xmlns:a14="http://schemas.microsoft.com/office/drawing/2010/main">
      <mc:Choice Requires="a14">
        <xdr:graphicFrame macro="">
          <xdr:nvGraphicFramePr>
            <xdr:cNvPr id="6" name="city 1"/>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27363" y="6633754"/>
              <a:ext cx="1829905" cy="172103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124097</xdr:colOff>
      <xdr:row>26</xdr:row>
      <xdr:rowOff>3265</xdr:rowOff>
    </xdr:from>
    <xdr:to>
      <xdr:col>3</xdr:col>
      <xdr:colOff>120373</xdr:colOff>
      <xdr:row>35</xdr:row>
      <xdr:rowOff>39574</xdr:rowOff>
    </xdr:to>
    <mc:AlternateContent xmlns:mc="http://schemas.openxmlformats.org/markup-compatibility/2006" xmlns:a14="http://schemas.microsoft.com/office/drawing/2010/main">
      <mc:Choice Requires="a14">
        <xdr:graphicFrame macro="">
          <xdr:nvGraphicFramePr>
            <xdr:cNvPr id="7" name="PaymentMethod 1"/>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mlns="">
        <xdr:sp macro="" textlink="">
          <xdr:nvSpPr>
            <xdr:cNvPr id="0" name=""/>
            <xdr:cNvSpPr>
              <a:spLocks noTextEdit="1"/>
            </xdr:cNvSpPr>
          </xdr:nvSpPr>
          <xdr:spPr>
            <a:xfrm>
              <a:off x="124097" y="4814751"/>
              <a:ext cx="1825076" cy="1701823"/>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4</xdr:col>
      <xdr:colOff>149135</xdr:colOff>
      <xdr:row>0</xdr:row>
      <xdr:rowOff>164376</xdr:rowOff>
    </xdr:from>
    <xdr:to>
      <xdr:col>7</xdr:col>
      <xdr:colOff>194855</xdr:colOff>
      <xdr:row>6</xdr:row>
      <xdr:rowOff>163287</xdr:rowOff>
    </xdr:to>
    <xdr:sp macro="" textlink="">
      <xdr:nvSpPr>
        <xdr:cNvPr id="12" name="TextBox 11"/>
        <xdr:cNvSpPr txBox="1"/>
      </xdr:nvSpPr>
      <xdr:spPr>
        <a:xfrm>
          <a:off x="2587535" y="164376"/>
          <a:ext cx="1874520" cy="1109254"/>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u="sng"/>
            <a:t>Total Sales</a:t>
          </a:r>
        </a:p>
      </xdr:txBody>
    </xdr:sp>
    <xdr:clientData/>
  </xdr:twoCellAnchor>
  <xdr:twoCellAnchor>
    <xdr:from>
      <xdr:col>4</xdr:col>
      <xdr:colOff>195943</xdr:colOff>
      <xdr:row>2</xdr:row>
      <xdr:rowOff>177853</xdr:rowOff>
    </xdr:from>
    <xdr:to>
      <xdr:col>7</xdr:col>
      <xdr:colOff>141515</xdr:colOff>
      <xdr:row>5</xdr:row>
      <xdr:rowOff>76200</xdr:rowOff>
    </xdr:to>
    <xdr:sp macro="" textlink="kpi!$A$2">
      <xdr:nvSpPr>
        <xdr:cNvPr id="8" name="TextBox 7"/>
        <xdr:cNvSpPr txBox="1"/>
      </xdr:nvSpPr>
      <xdr:spPr>
        <a:xfrm>
          <a:off x="2634343" y="547967"/>
          <a:ext cx="1774372" cy="4535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3C4B671-3B4F-40C3-9D56-5868187CDD79}" type="TxLink">
            <a:rPr lang="en-US" sz="2000" b="1" i="0" u="none" strike="noStrike">
              <a:solidFill>
                <a:srgbClr val="000000"/>
              </a:solidFill>
              <a:latin typeface="Calibri"/>
              <a:ea typeface="Calibri"/>
              <a:cs typeface="Calibri"/>
            </a:rPr>
            <a:pPr algn="ctr"/>
            <a:t>255738.433</a:t>
          </a:fld>
          <a:endParaRPr lang="en-IN" sz="2000" b="1"/>
        </a:p>
      </xdr:txBody>
    </xdr:sp>
    <xdr:clientData/>
  </xdr:twoCellAnchor>
  <xdr:twoCellAnchor>
    <xdr:from>
      <xdr:col>7</xdr:col>
      <xdr:colOff>598714</xdr:colOff>
      <xdr:row>0</xdr:row>
      <xdr:rowOff>130630</xdr:rowOff>
    </xdr:from>
    <xdr:to>
      <xdr:col>11</xdr:col>
      <xdr:colOff>10885</xdr:colOff>
      <xdr:row>7</xdr:row>
      <xdr:rowOff>32658</xdr:rowOff>
    </xdr:to>
    <xdr:sp macro="" textlink="">
      <xdr:nvSpPr>
        <xdr:cNvPr id="13" name="TextBox 12"/>
        <xdr:cNvSpPr txBox="1"/>
      </xdr:nvSpPr>
      <xdr:spPr>
        <a:xfrm>
          <a:off x="4865914" y="130630"/>
          <a:ext cx="1850571" cy="1197428"/>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u="sng"/>
            <a:t>Profit</a:t>
          </a:r>
        </a:p>
      </xdr:txBody>
    </xdr:sp>
    <xdr:clientData/>
  </xdr:twoCellAnchor>
  <xdr:twoCellAnchor>
    <xdr:from>
      <xdr:col>8</xdr:col>
      <xdr:colOff>163289</xdr:colOff>
      <xdr:row>2</xdr:row>
      <xdr:rowOff>163288</xdr:rowOff>
    </xdr:from>
    <xdr:to>
      <xdr:col>10</xdr:col>
      <xdr:colOff>500745</xdr:colOff>
      <xdr:row>5</xdr:row>
      <xdr:rowOff>119743</xdr:rowOff>
    </xdr:to>
    <xdr:sp macro="" textlink="kpi!$A$8">
      <xdr:nvSpPr>
        <xdr:cNvPr id="11" name="TextBox 10"/>
        <xdr:cNvSpPr txBox="1"/>
      </xdr:nvSpPr>
      <xdr:spPr>
        <a:xfrm>
          <a:off x="5040089" y="533402"/>
          <a:ext cx="1556656" cy="5116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AE7E8A3-E3A6-47F7-AB92-ACCD35F03F45}" type="TxLink">
            <a:rPr lang="en-US" sz="3200" b="1" i="0" u="none" strike="noStrike">
              <a:solidFill>
                <a:srgbClr val="000000"/>
              </a:solidFill>
              <a:latin typeface="Calibri"/>
              <a:ea typeface="Calibri"/>
              <a:cs typeface="Calibri"/>
            </a:rPr>
            <a:pPr algn="ctr"/>
            <a:t>62154</a:t>
          </a:fld>
          <a:endParaRPr lang="en-US" sz="3200" b="1" i="0" u="none" strike="noStrike">
            <a:solidFill>
              <a:srgbClr val="000000"/>
            </a:solidFill>
            <a:latin typeface="Calibri"/>
            <a:ea typeface="Calibri"/>
            <a:cs typeface="Calibri"/>
          </a:endParaRPr>
        </a:p>
      </xdr:txBody>
    </xdr:sp>
    <xdr:clientData/>
  </xdr:twoCellAnchor>
  <xdr:twoCellAnchor>
    <xdr:from>
      <xdr:col>0</xdr:col>
      <xdr:colOff>119743</xdr:colOff>
      <xdr:row>0</xdr:row>
      <xdr:rowOff>43543</xdr:rowOff>
    </xdr:from>
    <xdr:to>
      <xdr:col>3</xdr:col>
      <xdr:colOff>217714</xdr:colOff>
      <xdr:row>2</xdr:row>
      <xdr:rowOff>119743</xdr:rowOff>
    </xdr:to>
    <xdr:sp macro="" textlink="">
      <xdr:nvSpPr>
        <xdr:cNvPr id="14" name="TextBox 13"/>
        <xdr:cNvSpPr txBox="1"/>
      </xdr:nvSpPr>
      <xdr:spPr>
        <a:xfrm>
          <a:off x="119743" y="43543"/>
          <a:ext cx="1926771" cy="446314"/>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latin typeface="Algerian" panose="04020705040A02060702" pitchFamily="82" charset="0"/>
            </a:rPr>
            <a:t>slicers</a:t>
          </a:r>
        </a:p>
      </xdr:txBody>
    </xdr:sp>
    <xdr:clientData/>
  </xdr:twoCellAnchor>
  <xdr:twoCellAnchor>
    <xdr:from>
      <xdr:col>4</xdr:col>
      <xdr:colOff>76199</xdr:colOff>
      <xdr:row>14</xdr:row>
      <xdr:rowOff>54430</xdr:rowOff>
    </xdr:from>
    <xdr:to>
      <xdr:col>16</xdr:col>
      <xdr:colOff>119743</xdr:colOff>
      <xdr:row>29</xdr:row>
      <xdr:rowOff>33998</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185055</xdr:colOff>
      <xdr:row>29</xdr:row>
      <xdr:rowOff>141516</xdr:rowOff>
    </xdr:from>
    <xdr:to>
      <xdr:col>31</xdr:col>
      <xdr:colOff>359228</xdr:colOff>
      <xdr:row>44</xdr:row>
      <xdr:rowOff>108859</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544285</xdr:colOff>
      <xdr:row>30</xdr:row>
      <xdr:rowOff>76201</xdr:rowOff>
    </xdr:from>
    <xdr:to>
      <xdr:col>10</xdr:col>
      <xdr:colOff>337458</xdr:colOff>
      <xdr:row>44</xdr:row>
      <xdr:rowOff>160143</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348346</xdr:colOff>
      <xdr:row>14</xdr:row>
      <xdr:rowOff>65314</xdr:rowOff>
    </xdr:from>
    <xdr:to>
      <xdr:col>25</xdr:col>
      <xdr:colOff>217716</xdr:colOff>
      <xdr:row>28</xdr:row>
      <xdr:rowOff>176151</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174172</xdr:colOff>
      <xdr:row>9</xdr:row>
      <xdr:rowOff>152401</xdr:rowOff>
    </xdr:from>
    <xdr:to>
      <xdr:col>10</xdr:col>
      <xdr:colOff>43544</xdr:colOff>
      <xdr:row>13</xdr:row>
      <xdr:rowOff>10886</xdr:rowOff>
    </xdr:to>
    <xdr:sp macro="" textlink="">
      <xdr:nvSpPr>
        <xdr:cNvPr id="22" name="TextBox 21"/>
        <xdr:cNvSpPr txBox="1"/>
      </xdr:nvSpPr>
      <xdr:spPr>
        <a:xfrm>
          <a:off x="2612572" y="1817915"/>
          <a:ext cx="3526972" cy="598714"/>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a:solidFill>
                <a:srgbClr val="002060"/>
              </a:solidFill>
              <a:latin typeface="Bahnschrift" panose="020B0502040204020203" pitchFamily="34" charset="0"/>
            </a:rPr>
            <a:t>CHARTS</a:t>
          </a:r>
        </a:p>
      </xdr:txBody>
    </xdr:sp>
    <xdr:clientData/>
  </xdr:twoCellAnchor>
  <xdr:twoCellAnchor>
    <xdr:from>
      <xdr:col>10</xdr:col>
      <xdr:colOff>598713</xdr:colOff>
      <xdr:row>30</xdr:row>
      <xdr:rowOff>10885</xdr:rowOff>
    </xdr:from>
    <xdr:to>
      <xdr:col>16</xdr:col>
      <xdr:colOff>300317</xdr:colOff>
      <xdr:row>44</xdr:row>
      <xdr:rowOff>175510</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489856</xdr:colOff>
      <xdr:row>10</xdr:row>
      <xdr:rowOff>54429</xdr:rowOff>
    </xdr:from>
    <xdr:to>
      <xdr:col>33</xdr:col>
      <xdr:colOff>195941</xdr:colOff>
      <xdr:row>29</xdr:row>
      <xdr:rowOff>3464</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man Bhatt" refreshedDate="46007.628121643516" createdVersion="4" refreshedVersion="4" minRefreshableVersion="3" recordCount="97">
  <cacheSource type="worksheet">
    <worksheetSource ref="A3:U100" sheet="well data "/>
  </cacheSource>
  <cacheFields count="21">
    <cacheField name="S,NO" numFmtId="0">
      <sharedItems containsSemiMixedTypes="0" containsString="0" containsNumber="1" containsInteger="1" minValue="1" maxValue="97"/>
    </cacheField>
    <cacheField name="Date" numFmtId="14">
      <sharedItems containsSemiMixedTypes="0" containsNonDate="0" containsDate="1" containsString="0" minDate="2022-04-24T00:00:00" maxDate="2025-02-27T00:00:00"/>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Profit" numFmtId="0">
      <sharedItems containsSemiMixedTypes="0" containsString="0" containsNumber="1" containsInteger="1" minValue="208" maxValue="997"/>
    </cacheField>
    <cacheField name="StoreLocation" numFmtId="0">
      <sharedItems/>
    </cacheField>
    <cacheField name="CustomerType" numFmtId="0">
      <sharedItems count="3">
        <s v="Male"/>
        <s v="Female"/>
        <s v="Female "/>
      </sharedItems>
    </cacheField>
    <cacheField name="Discount" numFmtId="0">
      <sharedItems containsSemiMixedTypes="0" containsString="0" containsNumber="1" minValue="0" maxValue="0.15"/>
    </cacheField>
    <cacheField name="Salesperson" numFmtId="0">
      <sharedItems/>
    </cacheField>
    <cacheField name="Net Sales " numFmtId="0">
      <sharedItems containsString="0" containsBlank="1" containsNumber="1" minValue="101.73" maxValue="58746"/>
    </cacheField>
    <cacheField name="PaymentMethod" numFmtId="0">
      <sharedItems count="5">
        <s v="Online"/>
        <s v="Gift Card"/>
        <s v="Credit Card"/>
        <s v="Debit Card"/>
        <s v="Cash"/>
      </sharedItems>
    </cacheField>
    <cacheField name="Promotion" numFmtId="0">
      <sharedItems containsBlank="1"/>
    </cacheField>
    <cacheField name="Returned" numFmtId="0">
      <sharedItems containsSemiMixedTypes="0" containsString="0" containsNumber="1" containsInteger="1" minValue="0" maxValue="1"/>
    </cacheField>
    <cacheField name="OrderID" numFmtId="0">
      <sharedItems/>
    </cacheField>
    <cacheField name="CustomerName" numFmtId="0">
      <sharedItems/>
    </cacheField>
    <cacheField name="ShippingCost" numFmtId="0">
      <sharedItems containsSemiMixedTypes="0" containsString="0" containsNumber="1" containsInteger="1" minValue="108" maxValue="848483"/>
    </cacheField>
    <cacheField name="OrderDate" numFmtId="166">
      <sharedItems containsSemiMixedTypes="0" containsNonDate="0" containsDate="1" containsString="0" minDate="2023-01-05T00:00:00" maxDate="2025-06-21T00:00:00"/>
    </cacheField>
    <cacheField name="DeliveryDate" numFmtId="164">
      <sharedItems containsSemiMixedTypes="0" containsNonDate="0" containsDate="1" containsString="0" minDate="2023-01-11T00:00:00" maxDate="2025-07-01T00:00:00"/>
    </cacheField>
    <cacheField name="RegionManager" numFmtId="0">
      <sharedItems/>
    </cacheField>
    <cacheField name="city" numFmtId="164">
      <sharedItems count="5">
        <s v="Bihar"/>
        <s v="Lucknow"/>
        <s v="Kanpur"/>
        <s v="Gonda"/>
        <s v="Mumbai"/>
      </sharedItems>
    </cacheField>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r:id="rId1" refreshOnLoad="1" refreshedBy="Aman Bhatt" refreshedDate="46009.02303935185" createdVersion="4" refreshedVersion="4" minRefreshableVersion="3" recordCount="10">
  <cacheSource type="worksheet">
    <worksheetSource ref="AC39:AJ49" sheet="Practice"/>
  </cacheSource>
  <cacheFields count="8">
    <cacheField name="S.no" numFmtId="0">
      <sharedItems containsSemiMixedTypes="0" containsString="0" containsNumber="1" containsInteger="1" minValue="1" maxValue="10"/>
    </cacheField>
    <cacheField name="Names" numFmtId="0">
      <sharedItems count="10">
        <s v="Aman"/>
        <s v="Naman"/>
        <s v="Aagman"/>
        <s v="Sharad"/>
        <s v="Raman"/>
        <s v="Ayush "/>
        <s v="Utkarsh "/>
        <s v="Naveen "/>
        <s v="Rohit"/>
        <s v="Shudhanshu"/>
      </sharedItems>
    </cacheField>
    <cacheField name="Total" numFmtId="0">
      <sharedItems containsSemiMixedTypes="0" containsString="0" containsNumber="1" containsInteger="1" minValue="134" maxValue="350"/>
    </cacheField>
    <cacheField name="Sub 1 " numFmtId="0">
      <sharedItems containsSemiMixedTypes="0" containsString="0" containsNumber="1" containsInteger="1" minValue="1" maxValue="25"/>
    </cacheField>
    <cacheField name="Sub 2" numFmtId="0">
      <sharedItems containsMixedTypes="1" containsNumber="1" containsInteger="1" minValue="1" maxValue="35"/>
    </cacheField>
    <cacheField name="Sub 3" numFmtId="0">
      <sharedItems containsSemiMixedTypes="0" containsString="0" containsNumber="1" containsInteger="1" minValue="21" maxValue="200"/>
    </cacheField>
    <cacheField name="Total2" numFmtId="0">
      <sharedItems containsSemiMixedTypes="0" containsString="0" containsNumber="1" containsInteger="1" minValue="134" maxValue="350"/>
    </cacheField>
    <cacheField name="Dates " numFmtId="0">
      <sharedItems containsString="0" containsBlank="1" containsNumber="1" containsInteger="1" minValue="80" maxValue="8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7">
  <r>
    <n v="1"/>
    <d v="2022-04-24T00:00:00"/>
    <x v="0"/>
    <x v="0"/>
    <n v="14"/>
    <n v="559"/>
    <s v="Store B"/>
    <x v="0"/>
    <n v="0"/>
    <s v="Eva"/>
    <n v="2290.4"/>
    <x v="0"/>
    <s v="FREESHIP"/>
    <n v="0"/>
    <s v="REG100000"/>
    <s v="Cust 6583"/>
    <n v="220"/>
    <d v="2023-02-23T00:00:00"/>
    <d v="2023-02-27T00:00:00"/>
    <s v="Cameron"/>
    <x v="0"/>
  </r>
  <r>
    <n v="2"/>
    <d v="2023-03-19T00:00:00"/>
    <x v="1"/>
    <x v="1"/>
    <n v="1"/>
    <n v="694"/>
    <s v="Store A"/>
    <x v="1"/>
    <n v="0"/>
    <s v="Alice"/>
    <n v="544.01"/>
    <x v="1"/>
    <s v="SAVE10"/>
    <n v="0"/>
    <s v="REG100001"/>
    <s v="Cust 2144"/>
    <n v="440"/>
    <d v="2024-12-19T00:00:00"/>
    <d v="2024-12-28T00:00:00"/>
    <s v="Wendy"/>
    <x v="1"/>
  </r>
  <r>
    <n v="3"/>
    <d v="2023-05-10T00:00:00"/>
    <x v="2"/>
    <x v="2"/>
    <n v="14"/>
    <n v="666"/>
    <s v="Store B"/>
    <x v="2"/>
    <n v="0.1"/>
    <s v="Alice"/>
    <n v="4361.8680000000004"/>
    <x v="0"/>
    <s v="WINTER15"/>
    <n v="0"/>
    <s v="REG100002"/>
    <s v="Cust 5998"/>
    <n v="329"/>
    <d v="2023-05-10T00:00:00"/>
    <d v="2023-05-19T00:00:00"/>
    <s v="Ryan"/>
    <x v="2"/>
  </r>
  <r>
    <n v="4"/>
    <d v="2025-02-26T00:00:00"/>
    <x v="3"/>
    <x v="3"/>
    <n v="18"/>
    <n v="479"/>
    <s v="Store A"/>
    <x v="0"/>
    <n v="0.15"/>
    <s v="Frank"/>
    <n v="58746"/>
    <x v="1"/>
    <s v="FREESHIP"/>
    <n v="0"/>
    <s v="REG100003"/>
    <s v="Cust 7136"/>
    <n v="848483"/>
    <d v="2025-02-26T00:00:00"/>
    <d v="2025-03-02T00:00:00"/>
    <s v="Wendy"/>
    <x v="3"/>
  </r>
  <r>
    <n v="5"/>
    <d v="2023-06-24T00:00:00"/>
    <x v="0"/>
    <x v="2"/>
    <n v="18"/>
    <n v="619"/>
    <s v="Store C"/>
    <x v="0"/>
    <n v="0"/>
    <s v="Carlos"/>
    <n v="4279.68"/>
    <x v="0"/>
    <s v="SAVE10"/>
    <n v="0"/>
    <s v="REG100004"/>
    <s v="Cust 6506"/>
    <n v="160"/>
    <d v="2023-06-24T00:00:00"/>
    <d v="2023-06-27T00:00:00"/>
    <s v="Cameron"/>
    <x v="4"/>
  </r>
  <r>
    <n v="6"/>
    <d v="2024-02-20T00:00:00"/>
    <x v="3"/>
    <x v="4"/>
    <n v="2"/>
    <n v="575"/>
    <s v="Store D"/>
    <x v="1"/>
    <n v="0.15"/>
    <s v="Diana"/>
    <n v="654.65299999999991"/>
    <x v="2"/>
    <m/>
    <n v="0"/>
    <s v="REG100005"/>
    <s v="Cust 3909"/>
    <n v="26346"/>
    <d v="2024-02-20T00:00:00"/>
    <d v="2024-03-01T00:00:00"/>
    <s v="Wendy"/>
    <x v="0"/>
  </r>
  <r>
    <n v="7"/>
    <d v="2023-01-11T00:00:00"/>
    <x v="1"/>
    <x v="3"/>
    <n v="7"/>
    <n v="842"/>
    <s v="Store C"/>
    <x v="2"/>
    <n v="0.1"/>
    <s v="Alice"/>
    <n v="110.25"/>
    <x v="3"/>
    <s v="WINTER15"/>
    <n v="0"/>
    <s v="REG100006"/>
    <s v="Cust 7887"/>
    <n v="363"/>
    <d v="2023-01-11T00:00:00"/>
    <d v="2023-01-14T00:00:00"/>
    <s v="Ryan"/>
    <x v="1"/>
  </r>
  <r>
    <n v="8"/>
    <d v="2023-01-09T00:00:00"/>
    <x v="3"/>
    <x v="3"/>
    <n v="3"/>
    <n v="702"/>
    <s v="Store C"/>
    <x v="0"/>
    <n v="0.15"/>
    <s v="Carlos"/>
    <n v="842.06100000000004"/>
    <x v="4"/>
    <m/>
    <n v="0"/>
    <s v="REG100007"/>
    <s v="Cust 5301"/>
    <n v="74456"/>
    <d v="2023-01-09T00:00:00"/>
    <d v="2023-01-11T00:00:00"/>
    <s v="Wendy"/>
    <x v="2"/>
  </r>
  <r>
    <n v="9"/>
    <d v="2023-01-10T00:00:00"/>
    <x v="1"/>
    <x v="3"/>
    <n v="3"/>
    <n v="895"/>
    <s v="Store D"/>
    <x v="0"/>
    <n v="0.05"/>
    <s v="Bob"/>
    <n v="1231.3140000000001"/>
    <x v="3"/>
    <s v="FREESHIP"/>
    <n v="1"/>
    <s v="REG100008"/>
    <s v="Cust 2284"/>
    <n v="126"/>
    <d v="2024-10-16T00:00:00"/>
    <d v="2024-10-18T00:00:00"/>
    <s v="Cameron"/>
    <x v="3"/>
  </r>
  <r>
    <n v="10"/>
    <d v="2023-01-11T00:00:00"/>
    <x v="4"/>
    <x v="2"/>
    <n v="5"/>
    <n v="672"/>
    <s v="Store D"/>
    <x v="1"/>
    <n v="0.1"/>
    <s v="Frank"/>
    <n v="1454.76"/>
    <x v="1"/>
    <s v="SAVE10"/>
    <n v="0"/>
    <s v="REG100009"/>
    <s v="Cust40829"/>
    <n v="367"/>
    <d v="2025-03-05T00:00:00"/>
    <d v="2025-03-13T00:00:00"/>
    <s v="Wendy"/>
    <x v="4"/>
  </r>
  <r>
    <n v="11"/>
    <d v="2023-01-12T00:00:00"/>
    <x v="2"/>
    <x v="2"/>
    <n v="15"/>
    <n v="957"/>
    <s v="Store B"/>
    <x v="2"/>
    <n v="0.15"/>
    <s v="Eva"/>
    <n v="667.94749999999999"/>
    <x v="3"/>
    <m/>
    <n v="0"/>
    <s v="REG100010"/>
    <s v="Cust 1462"/>
    <n v="307"/>
    <d v="2024-04-10T00:00:00"/>
    <d v="2024-04-17T00:00:00"/>
    <s v="Ryan"/>
    <x v="0"/>
  </r>
  <r>
    <n v="12"/>
    <d v="2023-01-13T00:00:00"/>
    <x v="0"/>
    <x v="1"/>
    <n v="19"/>
    <n v="391"/>
    <s v="Store D"/>
    <x v="0"/>
    <n v="0.1"/>
    <s v="Eva"/>
    <n v="355.685"/>
    <x v="1"/>
    <m/>
    <n v="1"/>
    <s v="REG100011"/>
    <s v="Cust 4330"/>
    <n v="262"/>
    <d v="2024-07-12T00:00:00"/>
    <d v="2024-07-18T00:00:00"/>
    <s v="Wendy"/>
    <x v="1"/>
  </r>
  <r>
    <n v="13"/>
    <d v="2023-01-14T00:00:00"/>
    <x v="3"/>
    <x v="1"/>
    <n v="1"/>
    <n v="393"/>
    <s v="Store B"/>
    <x v="0"/>
    <n v="0.05"/>
    <s v="Diana"/>
    <n v="114.5035"/>
    <x v="4"/>
    <s v="WINTER15"/>
    <n v="0"/>
    <s v="REG100012"/>
    <s v="Cust 2372"/>
    <n v="2456"/>
    <d v="2023-07-21T00:00:00"/>
    <d v="2023-07-31T00:00:00"/>
    <s v="Cameron"/>
    <x v="2"/>
  </r>
  <r>
    <n v="14"/>
    <d v="2023-01-15T00:00:00"/>
    <x v="4"/>
    <x v="5"/>
    <n v="1"/>
    <n v="985"/>
    <s v="Store A"/>
    <x v="1"/>
    <n v="0.15"/>
    <s v="Carlos"/>
    <n v="134.15549999999999"/>
    <x v="3"/>
    <m/>
    <n v="0"/>
    <s v="REG100013"/>
    <s v="Cust 4672"/>
    <n v="269"/>
    <d v="2025-01-18T00:00:00"/>
    <d v="2025-01-22T00:00:00"/>
    <s v="Wendy"/>
    <x v="3"/>
  </r>
  <r>
    <n v="15"/>
    <d v="2023-01-16T00:00:00"/>
    <x v="2"/>
    <x v="2"/>
    <n v="15"/>
    <n v="802"/>
    <s v="Store B"/>
    <x v="2"/>
    <n v="0.15"/>
    <s v="Diana"/>
    <n v="2808.8249999999998"/>
    <x v="3"/>
    <m/>
    <n v="0"/>
    <s v="REG100014"/>
    <s v="Cust 4548"/>
    <n v="163"/>
    <d v="2024-12-08T00:00:00"/>
    <d v="2024-12-15T00:00:00"/>
    <s v="Ryan"/>
    <x v="4"/>
  </r>
  <r>
    <n v="16"/>
    <d v="2023-01-17T00:00:00"/>
    <x v="4"/>
    <x v="3"/>
    <n v="17"/>
    <n v="321"/>
    <s v="Store A"/>
    <x v="0"/>
    <n v="0.05"/>
    <s v="Eva"/>
    <n v="263.80399999999997"/>
    <x v="1"/>
    <s v="FREESHIP"/>
    <n v="0"/>
    <s v="REG100015"/>
    <s v="Cust 7037"/>
    <n v="439"/>
    <d v="2025-05-11T00:00:00"/>
    <d v="2025-05-17T00:00:00"/>
    <s v="Wendy"/>
    <x v="0"/>
  </r>
  <r>
    <n v="17"/>
    <d v="2023-01-18T00:00:00"/>
    <x v="4"/>
    <x v="0"/>
    <n v="19"/>
    <n v="604"/>
    <s v="Store D"/>
    <x v="0"/>
    <n v="0"/>
    <s v="Bob"/>
    <n v="4486.09"/>
    <x v="0"/>
    <s v="WINTER15"/>
    <n v="0"/>
    <s v="REG100016"/>
    <s v="Cust 4975"/>
    <n v="324"/>
    <d v="2023-02-26T00:00:00"/>
    <d v="2023-03-04T00:00:00"/>
    <s v="Wendy"/>
    <x v="1"/>
  </r>
  <r>
    <n v="18"/>
    <d v="2023-01-19T00:00:00"/>
    <x v="3"/>
    <x v="2"/>
    <n v="11"/>
    <n v="673"/>
    <s v="Store D"/>
    <x v="1"/>
    <n v="0.05"/>
    <s v="Diana"/>
    <m/>
    <x v="4"/>
    <s v="SAVE10"/>
    <n v="0"/>
    <s v="REG100017"/>
    <s v="Cust 8014"/>
    <n v="65443"/>
    <d v="2024-05-28T00:00:00"/>
    <d v="2024-06-01T00:00:00"/>
    <s v="Cameron"/>
    <x v="2"/>
  </r>
  <r>
    <n v="19"/>
    <d v="2023-01-20T00:00:00"/>
    <x v="0"/>
    <x v="1"/>
    <n v="20"/>
    <n v="542"/>
    <s v="Store B"/>
    <x v="2"/>
    <n v="0.15"/>
    <s v="Carlos"/>
    <n v="8823.6799999999985"/>
    <x v="1"/>
    <s v="FREESHIP"/>
    <n v="0"/>
    <s v="REG100018"/>
    <s v="Cust 1228"/>
    <n v="131"/>
    <d v="2023-11-30T00:00:00"/>
    <d v="2023-12-08T00:00:00"/>
    <s v="Eric"/>
    <x v="3"/>
  </r>
  <r>
    <n v="20"/>
    <d v="2023-01-21T00:00:00"/>
    <x v="4"/>
    <x v="2"/>
    <n v="14"/>
    <n v="972"/>
    <s v="Store B"/>
    <x v="0"/>
    <n v="0"/>
    <s v="Carlos"/>
    <n v="431.62"/>
    <x v="0"/>
    <s v="WINTER15"/>
    <n v="1"/>
    <s v="REG100019"/>
    <s v="Cust 4247"/>
    <n v="191"/>
    <d v="2023-06-22T00:00:00"/>
    <d v="2023-07-02T00:00:00"/>
    <s v="Wendy"/>
    <x v="4"/>
  </r>
  <r>
    <n v="21"/>
    <d v="2023-01-22T00:00:00"/>
    <x v="4"/>
    <x v="1"/>
    <n v="10"/>
    <n v="450"/>
    <s v="Store D"/>
    <x v="0"/>
    <n v="0"/>
    <s v="Diana"/>
    <n v="3190.5"/>
    <x v="0"/>
    <m/>
    <n v="0"/>
    <s v="REG100020"/>
    <s v="Cust 4199"/>
    <n v="364"/>
    <d v="2025-06-05T00:00:00"/>
    <d v="2025-06-08T00:00:00"/>
    <s v="Wendy"/>
    <x v="0"/>
  </r>
  <r>
    <n v="22"/>
    <d v="2023-01-23T00:00:00"/>
    <x v="3"/>
    <x v="3"/>
    <n v="14"/>
    <n v="749"/>
    <s v="Store A"/>
    <x v="1"/>
    <n v="0.05"/>
    <s v="Bob"/>
    <m/>
    <x v="0"/>
    <m/>
    <n v="1"/>
    <s v="REG100021"/>
    <s v="Cust 4186"/>
    <n v="55555"/>
    <d v="2023-03-03T00:00:00"/>
    <d v="2023-03-08T00:00:00"/>
    <s v="Cameron"/>
    <x v="1"/>
  </r>
  <r>
    <n v="23"/>
    <d v="2023-01-24T00:00:00"/>
    <x v="2"/>
    <x v="0"/>
    <n v="14"/>
    <n v="346"/>
    <s v="Store C"/>
    <x v="2"/>
    <n v="0"/>
    <s v="Carlos"/>
    <n v="5536.3"/>
    <x v="4"/>
    <s v="FREESHIP"/>
    <n v="1"/>
    <s v="REG100022"/>
    <s v="Cust 8137"/>
    <n v="257"/>
    <d v="2024-02-18T00:00:00"/>
    <d v="2024-02-22T00:00:00"/>
    <s v="Ryan"/>
    <x v="2"/>
  </r>
  <r>
    <n v="24"/>
    <d v="2023-01-25T00:00:00"/>
    <x v="3"/>
    <x v="0"/>
    <n v="12"/>
    <n v="361"/>
    <s v="Store D"/>
    <x v="0"/>
    <n v="0.15"/>
    <s v="Diana"/>
    <m/>
    <x v="2"/>
    <m/>
    <n v="0"/>
    <s v="REG100023"/>
    <s v="Cust 4638"/>
    <n v="63643"/>
    <d v="2023-08-06T00:00:00"/>
    <d v="2023-08-14T00:00:00"/>
    <s v="Cameron"/>
    <x v="3"/>
  </r>
  <r>
    <n v="25"/>
    <d v="2023-01-26T00:00:00"/>
    <x v="2"/>
    <x v="2"/>
    <n v="5"/>
    <n v="289"/>
    <s v="Store A"/>
    <x v="0"/>
    <n v="0"/>
    <s v="Eva"/>
    <n v="1440.05"/>
    <x v="2"/>
    <s v="FREESHIP"/>
    <n v="0"/>
    <s v="REG100024"/>
    <s v="Cust 8538"/>
    <n v="185"/>
    <d v="2024-05-23T00:00:00"/>
    <d v="2024-05-30T00:00:00"/>
    <s v="Ryan"/>
    <x v="4"/>
  </r>
  <r>
    <n v="26"/>
    <d v="2023-01-27T00:00:00"/>
    <x v="0"/>
    <x v="1"/>
    <n v="13"/>
    <n v="655"/>
    <s v="Store D"/>
    <x v="1"/>
    <n v="0"/>
    <s v="Diana"/>
    <n v="7309.77"/>
    <x v="1"/>
    <s v="SAVE10"/>
    <n v="0"/>
    <s v="REG100025"/>
    <s v="Cust 6322"/>
    <n v="280"/>
    <d v="2023-10-23T00:00:00"/>
    <d v="2023-10-28T00:00:00"/>
    <s v="Eric"/>
    <x v="0"/>
  </r>
  <r>
    <n v="27"/>
    <d v="2023-01-28T00:00:00"/>
    <x v="4"/>
    <x v="1"/>
    <n v="1"/>
    <n v="286"/>
    <s v="Store D"/>
    <x v="2"/>
    <n v="0"/>
    <s v="Frank"/>
    <n v="101.73"/>
    <x v="3"/>
    <s v="WINTER15"/>
    <n v="0"/>
    <s v="REG100026"/>
    <s v="Cust 2609"/>
    <n v="434"/>
    <d v="2025-06-16T00:00:00"/>
    <d v="2025-06-25T00:00:00"/>
    <s v="Wendy"/>
    <x v="1"/>
  </r>
  <r>
    <n v="28"/>
    <d v="2023-01-29T00:00:00"/>
    <x v="2"/>
    <x v="1"/>
    <n v="4"/>
    <n v="871"/>
    <s v="Store B"/>
    <x v="0"/>
    <n v="0"/>
    <s v="Diana"/>
    <n v="1117.96"/>
    <x v="2"/>
    <s v="FREESHIP"/>
    <n v="0"/>
    <s v="REG100027"/>
    <s v="Cust 6880"/>
    <n v="208"/>
    <d v="2023-03-03T00:00:00"/>
    <d v="2023-03-08T00:00:00"/>
    <s v="Ryan"/>
    <x v="2"/>
  </r>
  <r>
    <n v="29"/>
    <d v="2023-01-30T00:00:00"/>
    <x v="1"/>
    <x v="0"/>
    <n v="1"/>
    <n v="230"/>
    <s v="Store A"/>
    <x v="0"/>
    <n v="0.15"/>
    <s v="Carlos"/>
    <n v="151.76750000000001"/>
    <x v="3"/>
    <s v="SAVE10"/>
    <n v="1"/>
    <s v="REG100028"/>
    <s v="Cust 1997"/>
    <n v="227"/>
    <d v="2024-11-18T00:00:00"/>
    <d v="2024-11-21T00:00:00"/>
    <s v="Sophie"/>
    <x v="3"/>
  </r>
  <r>
    <n v="30"/>
    <d v="2023-01-31T00:00:00"/>
    <x v="3"/>
    <x v="5"/>
    <n v="1"/>
    <n v="651"/>
    <s v="Store A"/>
    <x v="1"/>
    <n v="0.1"/>
    <s v="Carlos"/>
    <m/>
    <x v="0"/>
    <s v="FREESHIP"/>
    <n v="0"/>
    <s v="REG100029"/>
    <s v="Cust 7072"/>
    <n v="34456"/>
    <d v="2023-05-09T00:00:00"/>
    <d v="2023-05-17T00:00:00"/>
    <s v="Cameron"/>
    <x v="4"/>
  </r>
  <r>
    <n v="31"/>
    <d v="2023-02-01T00:00:00"/>
    <x v="2"/>
    <x v="5"/>
    <n v="12"/>
    <n v="602"/>
    <s v="Store D"/>
    <x v="2"/>
    <n v="0"/>
    <s v="Frank"/>
    <n v="3675.48"/>
    <x v="3"/>
    <s v="SAVE10"/>
    <n v="0"/>
    <s v="REG100030"/>
    <s v="Cust 7201"/>
    <n v="405"/>
    <d v="2024-12-07T00:00:00"/>
    <d v="2024-12-14T00:00:00"/>
    <s v="Ryan"/>
    <x v="0"/>
  </r>
  <r>
    <n v="32"/>
    <d v="2023-02-02T00:00:00"/>
    <x v="2"/>
    <x v="1"/>
    <n v="7"/>
    <n v="551"/>
    <s v="Store C"/>
    <x v="0"/>
    <n v="0.15"/>
    <s v="Frank"/>
    <n v="2586.8815"/>
    <x v="0"/>
    <s v="SAVE10"/>
    <n v="0"/>
    <s v="REG100031"/>
    <s v="Cust 9923"/>
    <n v="310"/>
    <d v="2024-02-13T00:00:00"/>
    <d v="2024-02-15T00:00:00"/>
    <s v="Ryan"/>
    <x v="1"/>
  </r>
  <r>
    <n v="33"/>
    <d v="2023-02-03T00:00:00"/>
    <x v="1"/>
    <x v="2"/>
    <n v="6"/>
    <n v="859"/>
    <s v="Store C"/>
    <x v="0"/>
    <n v="0"/>
    <s v="Carlos"/>
    <n v="389.88"/>
    <x v="3"/>
    <s v="WINTER15"/>
    <n v="0"/>
    <s v="REG100032"/>
    <s v="Cust 2205"/>
    <n v="308"/>
    <d v="2025-03-09T00:00:00"/>
    <d v="2025-03-15T00:00:00"/>
    <s v="Sophie"/>
    <x v="2"/>
  </r>
  <r>
    <n v="34"/>
    <d v="2023-02-04T00:00:00"/>
    <x v="3"/>
    <x v="2"/>
    <n v="17"/>
    <n v="386"/>
    <s v="Store D"/>
    <x v="1"/>
    <n v="0"/>
    <s v="Alice"/>
    <m/>
    <x v="1"/>
    <m/>
    <n v="0"/>
    <s v="REG100033"/>
    <s v="Cust 6403"/>
    <n v="62233"/>
    <d v="2023-04-05T00:00:00"/>
    <d v="2023-04-11T00:00:00"/>
    <s v="Cameron"/>
    <x v="3"/>
  </r>
  <r>
    <n v="35"/>
    <d v="2023-02-05T00:00:00"/>
    <x v="2"/>
    <x v="4"/>
    <n v="4"/>
    <n v="208"/>
    <s v="Store D"/>
    <x v="2"/>
    <n v="0.15"/>
    <s v="Diana"/>
    <n v="1903.048"/>
    <x v="0"/>
    <s v="SAVE10"/>
    <n v="0"/>
    <s v="REG100034"/>
    <s v="Cust 3953"/>
    <n v="108"/>
    <d v="2025-05-08T00:00:00"/>
    <d v="2025-05-12T00:00:00"/>
    <s v="Ryan"/>
    <x v="4"/>
  </r>
  <r>
    <n v="36"/>
    <d v="2023-02-06T00:00:00"/>
    <x v="2"/>
    <x v="5"/>
    <n v="14"/>
    <n v="883"/>
    <s v="Store C"/>
    <x v="0"/>
    <n v="0"/>
    <s v="Alice"/>
    <n v="1149.96"/>
    <x v="2"/>
    <m/>
    <n v="0"/>
    <s v="REG100035"/>
    <s v="Cust 7902"/>
    <n v="463"/>
    <d v="2023-09-03T00:00:00"/>
    <d v="2023-09-11T00:00:00"/>
    <s v="Ryan"/>
    <x v="0"/>
  </r>
  <r>
    <n v="37"/>
    <d v="2023-02-07T00:00:00"/>
    <x v="3"/>
    <x v="3"/>
    <n v="9"/>
    <n v="918"/>
    <s v="Store A"/>
    <x v="0"/>
    <n v="0.05"/>
    <s v="Carlos"/>
    <m/>
    <x v="3"/>
    <s v="FREESHIP"/>
    <n v="0"/>
    <s v="REG100036"/>
    <s v="Cust 9968"/>
    <n v="210"/>
    <d v="2025-03-21T00:00:00"/>
    <d v="2025-03-28T00:00:00"/>
    <s v="Cameron"/>
    <x v="1"/>
  </r>
  <r>
    <n v="38"/>
    <d v="2023-02-08T00:00:00"/>
    <x v="1"/>
    <x v="3"/>
    <n v="7"/>
    <n v="783"/>
    <s v="Store B"/>
    <x v="1"/>
    <n v="0.15"/>
    <s v="Diana"/>
    <n v="1791.0094999999999"/>
    <x v="4"/>
    <s v="SAVE10"/>
    <n v="1"/>
    <s v="REG100037"/>
    <s v="Cust 3787"/>
    <n v="250"/>
    <d v="2025-06-20T00:00:00"/>
    <d v="2025-06-30T00:00:00"/>
    <s v="Sophie"/>
    <x v="2"/>
  </r>
  <r>
    <n v="39"/>
    <d v="2023-02-09T00:00:00"/>
    <x v="3"/>
    <x v="6"/>
    <n v="14"/>
    <n v="445"/>
    <s v="Store C"/>
    <x v="2"/>
    <n v="0.1"/>
    <s v="Bob"/>
    <m/>
    <x v="4"/>
    <m/>
    <n v="1"/>
    <s v="REG100038"/>
    <s v="Cust 2469"/>
    <n v="486"/>
    <d v="2024-02-15T00:00:00"/>
    <d v="2024-02-25T00:00:00"/>
    <s v="Cameron"/>
    <x v="3"/>
  </r>
  <r>
    <n v="40"/>
    <d v="2023-02-10T00:00:00"/>
    <x v="3"/>
    <x v="0"/>
    <n v="2"/>
    <n v="967"/>
    <s v="Store D"/>
    <x v="0"/>
    <n v="0.15"/>
    <s v="Alice"/>
    <m/>
    <x v="1"/>
    <m/>
    <n v="0"/>
    <s v="REG100039"/>
    <s v="Cust 6468"/>
    <n v="301"/>
    <d v="2023-06-09T00:00:00"/>
    <d v="2023-06-17T00:00:00"/>
    <s v="Cameron"/>
    <x v="4"/>
  </r>
  <r>
    <n v="41"/>
    <d v="2023-02-11T00:00:00"/>
    <x v="1"/>
    <x v="6"/>
    <n v="5"/>
    <n v="359"/>
    <s v="Store A"/>
    <x v="0"/>
    <n v="0.1"/>
    <s v="Eva"/>
    <n v="2116.44"/>
    <x v="3"/>
    <s v="SAVE10"/>
    <n v="0"/>
    <s v="REG100040"/>
    <s v="Cust 5312"/>
    <n v="190"/>
    <d v="2023-08-10T00:00:00"/>
    <d v="2023-08-14T00:00:00"/>
    <s v="Sophie"/>
    <x v="0"/>
  </r>
  <r>
    <n v="42"/>
    <d v="2023-02-12T00:00:00"/>
    <x v="3"/>
    <x v="6"/>
    <n v="20"/>
    <n v="461"/>
    <s v="Store C"/>
    <x v="1"/>
    <n v="0.05"/>
    <s v="Eva"/>
    <m/>
    <x v="1"/>
    <s v="FREESHIP"/>
    <n v="0"/>
    <s v="REG100041"/>
    <s v="Cust 1482"/>
    <n v="309"/>
    <d v="2024-06-16T00:00:00"/>
    <d v="2024-06-25T00:00:00"/>
    <s v="Cameron"/>
    <x v="1"/>
  </r>
  <r>
    <n v="43"/>
    <d v="2023-02-13T00:00:00"/>
    <x v="1"/>
    <x v="0"/>
    <n v="12"/>
    <n v="561"/>
    <s v="Store A"/>
    <x v="2"/>
    <n v="0"/>
    <s v="Eva"/>
    <n v="434.04"/>
    <x v="0"/>
    <s v="WINTER15"/>
    <n v="0"/>
    <s v="REG100042"/>
    <s v="Cust 7903"/>
    <n v="211"/>
    <d v="2023-07-23T00:00:00"/>
    <d v="2023-07-26T00:00:00"/>
    <s v="Sophie"/>
    <x v="2"/>
  </r>
  <r>
    <n v="44"/>
    <d v="2023-02-14T00:00:00"/>
    <x v="3"/>
    <x v="6"/>
    <n v="4"/>
    <n v="916"/>
    <s v="Store D"/>
    <x v="0"/>
    <n v="0.15"/>
    <s v="Carlos"/>
    <m/>
    <x v="1"/>
    <s v="WINTER15"/>
    <n v="1"/>
    <s v="REG100043"/>
    <s v="Cust 9605"/>
    <n v="489"/>
    <d v="2023-05-20T00:00:00"/>
    <d v="2023-05-27T00:00:00"/>
    <s v="Cameron"/>
    <x v="3"/>
  </r>
  <r>
    <n v="45"/>
    <d v="2023-02-15T00:00:00"/>
    <x v="1"/>
    <x v="0"/>
    <n v="2"/>
    <n v="941"/>
    <s v="Store D"/>
    <x v="0"/>
    <n v="0.05"/>
    <s v="Eva"/>
    <n v="790.51400000000001"/>
    <x v="3"/>
    <s v="SAVE10"/>
    <n v="0"/>
    <s v="REG100044"/>
    <s v="Cust 3298"/>
    <n v="390"/>
    <d v="2023-06-30T00:00:00"/>
    <d v="2023-07-04T00:00:00"/>
    <s v="Sophie"/>
    <x v="4"/>
  </r>
  <r>
    <n v="46"/>
    <d v="2023-02-16T00:00:00"/>
    <x v="1"/>
    <x v="5"/>
    <n v="16"/>
    <n v="735"/>
    <s v="Store D"/>
    <x v="1"/>
    <n v="0"/>
    <s v="Alice"/>
    <n v="4841.28"/>
    <x v="0"/>
    <s v="WINTER15"/>
    <n v="1"/>
    <s v="REG100045"/>
    <s v="Cust 5533"/>
    <n v="297"/>
    <d v="2024-06-04T00:00:00"/>
    <d v="2024-06-14T00:00:00"/>
    <s v="Sophie"/>
    <x v="0"/>
  </r>
  <r>
    <n v="47"/>
    <d v="2023-02-17T00:00:00"/>
    <x v="4"/>
    <x v="3"/>
    <n v="11"/>
    <n v="922"/>
    <s v="Store A"/>
    <x v="2"/>
    <n v="0.15"/>
    <s v="Frank"/>
    <n v="309.76549999999997"/>
    <x v="0"/>
    <s v="FREESHIP"/>
    <n v="0"/>
    <s v="REG100046"/>
    <s v="Cust 6362"/>
    <n v="224"/>
    <d v="2025-02-03T00:00:00"/>
    <d v="2025-02-05T00:00:00"/>
    <s v="Wendy"/>
    <x v="1"/>
  </r>
  <r>
    <n v="48"/>
    <d v="2023-02-18T00:00:00"/>
    <x v="0"/>
    <x v="5"/>
    <n v="8"/>
    <n v="909"/>
    <s v="Store D"/>
    <x v="0"/>
    <n v="0.15"/>
    <s v="Frank"/>
    <n v="3961.136"/>
    <x v="1"/>
    <s v="WINTER15"/>
    <n v="0"/>
    <s v="REG100047"/>
    <s v="Cust 4826"/>
    <n v="410"/>
    <d v="2024-01-09T00:00:00"/>
    <d v="2024-01-13T00:00:00"/>
    <s v="Eric"/>
    <x v="2"/>
  </r>
  <r>
    <n v="49"/>
    <d v="2023-02-19T00:00:00"/>
    <x v="2"/>
    <x v="2"/>
    <n v="5"/>
    <n v="597"/>
    <s v="Store A"/>
    <x v="0"/>
    <n v="0.1"/>
    <s v="Eva"/>
    <n v="743.17500000000007"/>
    <x v="1"/>
    <m/>
    <n v="0"/>
    <s v="REG100048"/>
    <s v="Cust 2171"/>
    <n v="450"/>
    <d v="2024-03-14T00:00:00"/>
    <d v="2024-03-16T00:00:00"/>
    <s v="Ryan"/>
    <x v="3"/>
  </r>
  <r>
    <n v="50"/>
    <d v="2023-02-20T00:00:00"/>
    <x v="4"/>
    <x v="4"/>
    <n v="14"/>
    <n v="472"/>
    <s v="Store D"/>
    <x v="1"/>
    <n v="0.15"/>
    <s v="Alice"/>
    <n v="2889.558"/>
    <x v="4"/>
    <s v="WINTER15"/>
    <n v="1"/>
    <s v="REG100049"/>
    <s v="Cust 4005"/>
    <n v="289"/>
    <d v="2024-09-06T00:00:00"/>
    <d v="2024-09-13T00:00:00"/>
    <s v="Wendy"/>
    <x v="4"/>
  </r>
  <r>
    <n v="51"/>
    <d v="2023-02-21T00:00:00"/>
    <x v="0"/>
    <x v="4"/>
    <n v="13"/>
    <n v="997"/>
    <s v="Store A"/>
    <x v="2"/>
    <n v="0.1"/>
    <s v="Frank"/>
    <n v="772.08299999999997"/>
    <x v="4"/>
    <s v="WINTER15"/>
    <n v="0"/>
    <s v="REG100050"/>
    <s v="Cust 7032"/>
    <n v="184"/>
    <d v="2023-03-17T00:00:00"/>
    <d v="2023-03-20T00:00:00"/>
    <s v="Eric"/>
    <x v="0"/>
  </r>
  <r>
    <n v="52"/>
    <d v="2023-02-22T00:00:00"/>
    <x v="4"/>
    <x v="3"/>
    <n v="2"/>
    <n v="459"/>
    <s v="Store C"/>
    <x v="0"/>
    <n v="0"/>
    <s v="Alice"/>
    <n v="503.38"/>
    <x v="3"/>
    <s v="FREESHIP"/>
    <n v="0"/>
    <s v="REG100051"/>
    <s v="Cust 7167"/>
    <n v="175"/>
    <d v="2025-01-17T00:00:00"/>
    <d v="2025-01-24T00:00:00"/>
    <s v="Wendy"/>
    <x v="1"/>
  </r>
  <r>
    <n v="53"/>
    <d v="2023-02-23T00:00:00"/>
    <x v="1"/>
    <x v="0"/>
    <n v="1"/>
    <n v="512"/>
    <s v="Store B"/>
    <x v="0"/>
    <n v="0.1"/>
    <s v="Eva"/>
    <n v="242.46899999999999"/>
    <x v="4"/>
    <s v="WINTER15"/>
    <n v="1"/>
    <s v="REG100052"/>
    <s v="Cust 5702"/>
    <n v="132"/>
    <d v="2024-09-12T00:00:00"/>
    <d v="2024-09-18T00:00:00"/>
    <s v="Sophie"/>
    <x v="2"/>
  </r>
  <r>
    <n v="54"/>
    <d v="2023-02-24T00:00:00"/>
    <x v="1"/>
    <x v="4"/>
    <n v="2"/>
    <n v="635"/>
    <s v="Store B"/>
    <x v="1"/>
    <n v="0.05"/>
    <s v="Bob"/>
    <n v="705.47"/>
    <x v="2"/>
    <s v="SAVE10"/>
    <n v="0"/>
    <s v="REG100053"/>
    <s v="Cust 4944"/>
    <n v="471"/>
    <d v="2024-01-05T00:00:00"/>
    <d v="2024-01-15T00:00:00"/>
    <s v="Sophie"/>
    <x v="3"/>
  </r>
  <r>
    <n v="55"/>
    <d v="2023-02-25T00:00:00"/>
    <x v="4"/>
    <x v="5"/>
    <n v="11"/>
    <n v="634"/>
    <s v="Store A"/>
    <x v="2"/>
    <n v="0.15"/>
    <s v="Diana"/>
    <n v="2695.0439999999999"/>
    <x v="0"/>
    <m/>
    <n v="0"/>
    <s v="REG100054"/>
    <s v="Cust 8149"/>
    <n v="280"/>
    <d v="2024-04-19T00:00:00"/>
    <d v="2024-04-25T00:00:00"/>
    <s v="Wendy"/>
    <x v="4"/>
  </r>
  <r>
    <n v="56"/>
    <d v="2023-02-26T00:00:00"/>
    <x v="3"/>
    <x v="5"/>
    <n v="11"/>
    <n v="997"/>
    <s v="Store D"/>
    <x v="0"/>
    <n v="0.05"/>
    <s v="Eva"/>
    <m/>
    <x v="2"/>
    <s v="SAVE10"/>
    <n v="0"/>
    <s v="REG100055"/>
    <s v="Cust 3638"/>
    <n v="471"/>
    <d v="2025-06-11T00:00:00"/>
    <d v="2025-06-21T00:00:00"/>
    <s v="Cameron"/>
    <x v="0"/>
  </r>
  <r>
    <n v="57"/>
    <d v="2023-02-27T00:00:00"/>
    <x v="0"/>
    <x v="1"/>
    <n v="17"/>
    <n v="556"/>
    <s v="Store B"/>
    <x v="0"/>
    <n v="0.15"/>
    <s v="Carlos"/>
    <n v="2113.7460000000001"/>
    <x v="4"/>
    <s v="SAVE10"/>
    <n v="0"/>
    <s v="REG100056"/>
    <s v="Cust 9973"/>
    <n v="477"/>
    <d v="2025-03-06T00:00:00"/>
    <d v="2025-03-15T00:00:00"/>
    <s v="Eric"/>
    <x v="1"/>
  </r>
  <r>
    <n v="58"/>
    <d v="2023-02-28T00:00:00"/>
    <x v="0"/>
    <x v="3"/>
    <n v="5"/>
    <n v="420"/>
    <s v="Store C"/>
    <x v="1"/>
    <n v="0.1"/>
    <s v="Eva"/>
    <n v="451.71"/>
    <x v="1"/>
    <s v="WINTER15"/>
    <n v="1"/>
    <s v="REG100057"/>
    <s v="Cust 4214"/>
    <n v="422"/>
    <d v="2023-05-24T00:00:00"/>
    <d v="2023-05-26T00:00:00"/>
    <s v="Eric"/>
    <x v="2"/>
  </r>
  <r>
    <n v="59"/>
    <d v="2023-03-01T00:00:00"/>
    <x v="1"/>
    <x v="1"/>
    <n v="11"/>
    <n v="820"/>
    <s v="Store B"/>
    <x v="2"/>
    <n v="0.05"/>
    <s v="Bob"/>
    <n v="3923.766000000001"/>
    <x v="3"/>
    <s v="WINTER15"/>
    <n v="0"/>
    <s v="REG100058"/>
    <s v="Cust 2647"/>
    <n v="431"/>
    <d v="2023-01-27T00:00:00"/>
    <d v="2023-02-03T00:00:00"/>
    <s v="Sophie"/>
    <x v="3"/>
  </r>
  <r>
    <n v="60"/>
    <d v="2023-03-02T00:00:00"/>
    <x v="1"/>
    <x v="0"/>
    <n v="18"/>
    <n v="694"/>
    <s v="Store B"/>
    <x v="0"/>
    <n v="0.05"/>
    <s v="Bob"/>
    <n v="5418.8190000000004"/>
    <x v="4"/>
    <s v="FREESHIP"/>
    <n v="0"/>
    <s v="REG100059"/>
    <s v="Cust 3552"/>
    <n v="154"/>
    <d v="2024-03-21T00:00:00"/>
    <d v="2024-03-27T00:00:00"/>
    <s v="Sophie"/>
    <x v="4"/>
  </r>
  <r>
    <n v="61"/>
    <d v="2023-03-03T00:00:00"/>
    <x v="4"/>
    <x v="0"/>
    <n v="20"/>
    <n v="713"/>
    <s v="Store D"/>
    <x v="0"/>
    <n v="0.15"/>
    <s v="Frank"/>
    <n v="5016.0200000000004"/>
    <x v="0"/>
    <s v="SAVE10"/>
    <n v="1"/>
    <s v="REG100060"/>
    <s v="Cust 3354"/>
    <n v="176"/>
    <d v="2025-01-25T00:00:00"/>
    <d v="2025-01-31T00:00:00"/>
    <s v="Wendy"/>
    <x v="0"/>
  </r>
  <r>
    <n v="62"/>
    <d v="2023-03-04T00:00:00"/>
    <x v="3"/>
    <x v="1"/>
    <n v="8"/>
    <n v="814"/>
    <s v="Store D"/>
    <x v="1"/>
    <n v="0"/>
    <s v="Eva"/>
    <m/>
    <x v="4"/>
    <s v="SAVE10"/>
    <n v="0"/>
    <s v="REG100061"/>
    <s v="Cust 3903"/>
    <n v="317"/>
    <d v="2023-06-12T00:00:00"/>
    <d v="2023-06-21T00:00:00"/>
    <s v="Cameron"/>
    <x v="1"/>
  </r>
  <r>
    <n v="63"/>
    <d v="2023-03-05T00:00:00"/>
    <x v="3"/>
    <x v="3"/>
    <n v="3"/>
    <n v="969"/>
    <s v="Store B"/>
    <x v="2"/>
    <n v="0.1"/>
    <s v="Alice"/>
    <m/>
    <x v="1"/>
    <m/>
    <n v="0"/>
    <s v="REG100062"/>
    <s v="Cust 5358"/>
    <n v="284"/>
    <d v="2025-03-22T00:00:00"/>
    <d v="2025-03-26T00:00:00"/>
    <s v="Cameron"/>
    <x v="2"/>
  </r>
  <r>
    <n v="64"/>
    <d v="2023-03-06T00:00:00"/>
    <x v="3"/>
    <x v="2"/>
    <n v="16"/>
    <n v="213"/>
    <s v="Store D"/>
    <x v="0"/>
    <n v="0.15"/>
    <s v="Bob"/>
    <m/>
    <x v="3"/>
    <s v="FREESHIP"/>
    <n v="0"/>
    <s v="REG100063"/>
    <s v="Cust 8144"/>
    <n v="84463"/>
    <d v="2024-02-24T00:00:00"/>
    <d v="2024-02-27T00:00:00"/>
    <s v="Cameron"/>
    <x v="3"/>
  </r>
  <r>
    <n v="65"/>
    <d v="2023-03-07T00:00:00"/>
    <x v="1"/>
    <x v="3"/>
    <n v="15"/>
    <n v="299"/>
    <s v="Store B"/>
    <x v="0"/>
    <n v="0"/>
    <s v="Frank"/>
    <n v="7667.55"/>
    <x v="0"/>
    <s v="FREESHIP"/>
    <n v="0"/>
    <s v="REG100064"/>
    <s v="Cust 6747"/>
    <n v="180"/>
    <d v="2023-12-09T00:00:00"/>
    <d v="2023-12-12T00:00:00"/>
    <s v="Sophie"/>
    <x v="4"/>
  </r>
  <r>
    <n v="66"/>
    <d v="2023-03-08T00:00:00"/>
    <x v="3"/>
    <x v="4"/>
    <n v="3"/>
    <n v="765"/>
    <s v="Store B"/>
    <x v="1"/>
    <n v="0.1"/>
    <s v="Frank"/>
    <m/>
    <x v="3"/>
    <s v="FREESHIP"/>
    <n v="0"/>
    <s v="REG100065"/>
    <s v="Cust 8330"/>
    <n v="684839"/>
    <d v="2023-10-01T00:00:00"/>
    <d v="2023-10-05T00:00:00"/>
    <s v="Cameron"/>
    <x v="0"/>
  </r>
  <r>
    <n v="67"/>
    <d v="2023-03-09T00:00:00"/>
    <x v="4"/>
    <x v="5"/>
    <n v="5"/>
    <n v="606"/>
    <s v="Store D"/>
    <x v="2"/>
    <n v="0.05"/>
    <s v="Frank"/>
    <n v="2329.9699999999998"/>
    <x v="0"/>
    <m/>
    <n v="0"/>
    <s v="REG100066"/>
    <s v="Cust 7186"/>
    <n v="491"/>
    <d v="2023-07-31T00:00:00"/>
    <d v="2023-08-07T00:00:00"/>
    <s v="Wendy"/>
    <x v="1"/>
  </r>
  <r>
    <n v="68"/>
    <d v="2023-03-10T00:00:00"/>
    <x v="1"/>
    <x v="3"/>
    <n v="8"/>
    <n v="794"/>
    <s v="Store A"/>
    <x v="0"/>
    <n v="0.05"/>
    <s v="Carlos"/>
    <n v="3085.2959999999998"/>
    <x v="2"/>
    <s v="WINTER15"/>
    <n v="0"/>
    <s v="REG100067"/>
    <s v="Cust 8287"/>
    <n v="495"/>
    <d v="2024-12-24T00:00:00"/>
    <d v="2024-12-31T00:00:00"/>
    <s v="Sophie"/>
    <x v="2"/>
  </r>
  <r>
    <n v="69"/>
    <d v="2023-03-11T00:00:00"/>
    <x v="2"/>
    <x v="1"/>
    <n v="1"/>
    <n v="702"/>
    <s v="Store B"/>
    <x v="0"/>
    <n v="0.1"/>
    <s v="Bob"/>
    <n v="143.46899999999999"/>
    <x v="2"/>
    <s v="FREESHIP"/>
    <n v="0"/>
    <s v="REG100068"/>
    <s v="Cust 3986"/>
    <n v="451"/>
    <d v="2024-11-15T00:00:00"/>
    <d v="2024-11-19T00:00:00"/>
    <s v="Ryan"/>
    <x v="3"/>
  </r>
  <r>
    <n v="70"/>
    <d v="2023-03-12T00:00:00"/>
    <x v="4"/>
    <x v="4"/>
    <n v="16"/>
    <n v="595"/>
    <s v="Store C"/>
    <x v="1"/>
    <n v="0.15"/>
    <s v="Carlos"/>
    <n v="523.46400000000006"/>
    <x v="3"/>
    <s v="SAVE10"/>
    <n v="0"/>
    <s v="REG100069"/>
    <s v="Cust 3213"/>
    <n v="164"/>
    <d v="2025-03-13T00:00:00"/>
    <d v="2025-03-22T00:00:00"/>
    <s v="Wendy"/>
    <x v="4"/>
  </r>
  <r>
    <n v="71"/>
    <d v="2023-03-13T00:00:00"/>
    <x v="0"/>
    <x v="5"/>
    <n v="15"/>
    <n v="262"/>
    <s v="Store D"/>
    <x v="2"/>
    <n v="0.15"/>
    <s v="Alice"/>
    <n v="4186.59"/>
    <x v="1"/>
    <s v="WINTER15"/>
    <n v="0"/>
    <s v="REG100070"/>
    <s v="Cust 1907"/>
    <n v="431"/>
    <d v="2024-03-03T00:00:00"/>
    <d v="2024-03-12T00:00:00"/>
    <s v="Eric"/>
    <x v="0"/>
  </r>
  <r>
    <n v="72"/>
    <d v="2023-03-14T00:00:00"/>
    <x v="3"/>
    <x v="5"/>
    <n v="20"/>
    <n v="623"/>
    <s v="Store A"/>
    <x v="0"/>
    <n v="0.1"/>
    <s v="Eva"/>
    <m/>
    <x v="2"/>
    <s v="WINTER15"/>
    <n v="1"/>
    <s v="REG100071"/>
    <s v="Cust 4639"/>
    <n v="285"/>
    <d v="2023-02-11T00:00:00"/>
    <d v="2023-02-14T00:00:00"/>
    <s v="Cameron"/>
    <x v="1"/>
  </r>
  <r>
    <n v="73"/>
    <d v="2023-03-15T00:00:00"/>
    <x v="1"/>
    <x v="2"/>
    <n v="13"/>
    <n v="843"/>
    <s v="Store B"/>
    <x v="0"/>
    <n v="0.05"/>
    <s v="Carlos"/>
    <n v="5982.9575000000004"/>
    <x v="1"/>
    <s v="WINTER15"/>
    <n v="1"/>
    <s v="REG100072"/>
    <s v="Cust 4153"/>
    <n v="409"/>
    <d v="2023-10-26T00:00:00"/>
    <d v="2023-11-05T00:00:00"/>
    <s v="Sophie"/>
    <x v="2"/>
  </r>
  <r>
    <n v="74"/>
    <d v="2023-03-16T00:00:00"/>
    <x v="1"/>
    <x v="4"/>
    <n v="13"/>
    <n v="666"/>
    <s v="Store A"/>
    <x v="1"/>
    <n v="0.05"/>
    <s v="Alice"/>
    <n v="2418.6239999999998"/>
    <x v="2"/>
    <m/>
    <n v="0"/>
    <s v="REG100073"/>
    <s v="Cust 7096"/>
    <n v="261"/>
    <d v="2023-10-21T00:00:00"/>
    <d v="2023-10-28T00:00:00"/>
    <s v="Sophie"/>
    <x v="3"/>
  </r>
  <r>
    <n v="75"/>
    <d v="2023-03-17T00:00:00"/>
    <x v="3"/>
    <x v="5"/>
    <n v="19"/>
    <n v="214"/>
    <s v="Store D"/>
    <x v="2"/>
    <n v="0.15"/>
    <s v="Diana"/>
    <m/>
    <x v="3"/>
    <s v="FREESHIP"/>
    <n v="0"/>
    <s v="REG100074"/>
    <s v="Cust 3806"/>
    <n v="256"/>
    <d v="2024-01-14T00:00:00"/>
    <d v="2024-01-20T00:00:00"/>
    <s v="Cameron"/>
    <x v="4"/>
  </r>
  <r>
    <n v="76"/>
    <d v="2023-03-18T00:00:00"/>
    <x v="3"/>
    <x v="2"/>
    <n v="10"/>
    <n v="724"/>
    <s v="Store D"/>
    <x v="0"/>
    <n v="0.1"/>
    <s v="Eva"/>
    <m/>
    <x v="0"/>
    <m/>
    <n v="0"/>
    <s v="REG100075"/>
    <s v="Cust 9345"/>
    <n v="118"/>
    <d v="2023-07-27T00:00:00"/>
    <d v="2023-07-31T00:00:00"/>
    <s v="Cameron"/>
    <x v="0"/>
  </r>
  <r>
    <n v="77"/>
    <d v="2023-03-19T00:00:00"/>
    <x v="1"/>
    <x v="1"/>
    <n v="14"/>
    <n v="945"/>
    <s v="Store B"/>
    <x v="0"/>
    <n v="0.1"/>
    <s v="Bob"/>
    <n v="5613.5519999999997"/>
    <x v="0"/>
    <s v="SAVE10"/>
    <n v="0"/>
    <s v="REG100076"/>
    <s v="Cust 4456"/>
    <n v="132"/>
    <d v="2024-10-23T00:00:00"/>
    <d v="2024-10-25T00:00:00"/>
    <s v="Sophie"/>
    <x v="1"/>
  </r>
  <r>
    <n v="78"/>
    <d v="2023-03-20T00:00:00"/>
    <x v="1"/>
    <x v="3"/>
    <n v="5"/>
    <n v="791"/>
    <s v="Store B"/>
    <x v="1"/>
    <n v="0.15"/>
    <s v="Alice"/>
    <n v="2344.2150000000001"/>
    <x v="0"/>
    <s v="WINTER15"/>
    <n v="1"/>
    <s v="REG100077"/>
    <s v="Cust 1089"/>
    <n v="307"/>
    <d v="2023-09-26T00:00:00"/>
    <d v="2023-10-01T00:00:00"/>
    <s v="Sophie"/>
    <x v="2"/>
  </r>
  <r>
    <n v="79"/>
    <d v="2023-03-21T00:00:00"/>
    <x v="0"/>
    <x v="1"/>
    <n v="13"/>
    <n v="509"/>
    <s v="Store D"/>
    <x v="2"/>
    <n v="0"/>
    <s v="Carlos"/>
    <n v="3138.2"/>
    <x v="1"/>
    <s v="SAVE10"/>
    <n v="0"/>
    <s v="REG100078"/>
    <s v="Cust 7230"/>
    <n v="214"/>
    <d v="2023-12-16T00:00:00"/>
    <d v="2023-12-20T00:00:00"/>
    <s v="Eric"/>
    <x v="3"/>
  </r>
  <r>
    <n v="80"/>
    <d v="2023-03-22T00:00:00"/>
    <x v="3"/>
    <x v="6"/>
    <n v="19"/>
    <n v="300"/>
    <s v="Store A"/>
    <x v="0"/>
    <n v="0"/>
    <s v="Alice"/>
    <m/>
    <x v="2"/>
    <m/>
    <n v="0"/>
    <s v="REG100079"/>
    <s v="Cust 6597"/>
    <n v="6333"/>
    <d v="2024-01-02T00:00:00"/>
    <d v="2024-01-05T00:00:00"/>
    <s v="Cameron"/>
    <x v="4"/>
  </r>
  <r>
    <n v="81"/>
    <d v="2023-03-23T00:00:00"/>
    <x v="2"/>
    <x v="1"/>
    <n v="4"/>
    <n v="711"/>
    <s v="Store A"/>
    <x v="0"/>
    <n v="0.05"/>
    <s v="Alice"/>
    <n v="318.25"/>
    <x v="3"/>
    <s v="SAVE10"/>
    <n v="1"/>
    <s v="REG100080"/>
    <s v="Cust 4108"/>
    <n v="482"/>
    <d v="2024-02-16T00:00:00"/>
    <d v="2024-02-25T00:00:00"/>
    <s v="Ryan"/>
    <x v="0"/>
  </r>
  <r>
    <n v="82"/>
    <d v="2023-03-24T00:00:00"/>
    <x v="0"/>
    <x v="4"/>
    <n v="5"/>
    <n v="997"/>
    <s v="Store A"/>
    <x v="1"/>
    <n v="0.15"/>
    <s v="Frank"/>
    <n v="1772.075"/>
    <x v="0"/>
    <m/>
    <n v="1"/>
    <s v="REG100081"/>
    <s v="Cust 2883"/>
    <n v="378"/>
    <d v="2024-05-03T00:00:00"/>
    <d v="2024-05-12T00:00:00"/>
    <s v="Eric"/>
    <x v="1"/>
  </r>
  <r>
    <n v="83"/>
    <d v="2023-03-25T00:00:00"/>
    <x v="4"/>
    <x v="4"/>
    <n v="18"/>
    <n v="918"/>
    <s v="Store C"/>
    <x v="2"/>
    <n v="0.05"/>
    <s v="Bob"/>
    <n v="2435.5529999999999"/>
    <x v="2"/>
    <s v="SAVE10"/>
    <n v="1"/>
    <s v="REG100082"/>
    <s v="Cust 5018"/>
    <n v="201"/>
    <d v="2023-05-27T00:00:00"/>
    <d v="2023-06-02T00:00:00"/>
    <s v="Wendy"/>
    <x v="2"/>
  </r>
  <r>
    <n v="84"/>
    <d v="2023-03-26T00:00:00"/>
    <x v="0"/>
    <x v="2"/>
    <n v="12"/>
    <n v="919"/>
    <s v="Store A"/>
    <x v="0"/>
    <n v="0"/>
    <s v="Bob"/>
    <n v="6990.24"/>
    <x v="2"/>
    <s v="FREESHIP"/>
    <n v="0"/>
    <s v="REG100083"/>
    <s v="Cust 1231"/>
    <n v="326"/>
    <d v="2023-01-05T00:00:00"/>
    <d v="2023-01-11T00:00:00"/>
    <s v="Eric"/>
    <x v="3"/>
  </r>
  <r>
    <n v="85"/>
    <d v="2023-03-27T00:00:00"/>
    <x v="0"/>
    <x v="3"/>
    <n v="20"/>
    <n v="400"/>
    <s v="Store A"/>
    <x v="0"/>
    <n v="0.15"/>
    <s v="Diana"/>
    <n v="2202.52"/>
    <x v="0"/>
    <s v="WINTER15"/>
    <n v="0"/>
    <s v="REG100084"/>
    <s v="Cust 2209"/>
    <n v="231"/>
    <d v="2025-05-21T00:00:00"/>
    <d v="2025-05-23T00:00:00"/>
    <s v="Eric"/>
    <x v="4"/>
  </r>
  <r>
    <n v="86"/>
    <d v="2023-03-28T00:00:00"/>
    <x v="3"/>
    <x v="5"/>
    <n v="17"/>
    <n v="445"/>
    <s v="Store B"/>
    <x v="1"/>
    <n v="0"/>
    <s v="Eva"/>
    <m/>
    <x v="1"/>
    <s v="FREESHIP"/>
    <n v="1"/>
    <s v="REG100085"/>
    <s v="Cust 6684"/>
    <n v="438"/>
    <d v="2023-07-21T00:00:00"/>
    <d v="2023-07-25T00:00:00"/>
    <s v="Cameron"/>
    <x v="0"/>
  </r>
  <r>
    <n v="87"/>
    <d v="2023-03-29T00:00:00"/>
    <x v="0"/>
    <x v="0"/>
    <n v="15"/>
    <n v="827"/>
    <s v="Store C"/>
    <x v="2"/>
    <n v="0"/>
    <s v="Bob"/>
    <n v="237.75"/>
    <x v="3"/>
    <s v="WINTER15"/>
    <n v="0"/>
    <s v="REG100086"/>
    <s v="Cust 5289"/>
    <n v="218"/>
    <d v="2025-05-25T00:00:00"/>
    <d v="2025-06-03T00:00:00"/>
    <s v="Eric"/>
    <x v="1"/>
  </r>
  <r>
    <n v="88"/>
    <d v="2023-03-30T00:00:00"/>
    <x v="1"/>
    <x v="5"/>
    <n v="20"/>
    <n v="377"/>
    <s v="Store B"/>
    <x v="0"/>
    <n v="0.1"/>
    <s v="Bob"/>
    <n v="9870.1200000000008"/>
    <x v="1"/>
    <s v="WINTER15"/>
    <n v="0"/>
    <s v="REG100087"/>
    <s v="Cust 9159"/>
    <n v="481"/>
    <d v="2024-11-16T00:00:00"/>
    <d v="2024-11-22T00:00:00"/>
    <s v="Sophie"/>
    <x v="2"/>
  </r>
  <r>
    <n v="89"/>
    <d v="2023-03-31T00:00:00"/>
    <x v="2"/>
    <x v="0"/>
    <n v="16"/>
    <n v="509"/>
    <s v="Store C"/>
    <x v="0"/>
    <n v="0.05"/>
    <s v="Frank"/>
    <n v="7992.616"/>
    <x v="0"/>
    <m/>
    <n v="0"/>
    <s v="REG100088"/>
    <s v="Cust 4844"/>
    <n v="463"/>
    <d v="2023-11-19T00:00:00"/>
    <d v="2023-11-25T00:00:00"/>
    <s v="Ryan"/>
    <x v="3"/>
  </r>
  <r>
    <n v="90"/>
    <d v="2023-04-01T00:00:00"/>
    <x v="3"/>
    <x v="0"/>
    <n v="15"/>
    <n v="906"/>
    <s v="Store A"/>
    <x v="1"/>
    <n v="0.05"/>
    <s v="Bob"/>
    <m/>
    <x v="0"/>
    <s v="SAVE10"/>
    <n v="0"/>
    <s v="REG100089"/>
    <s v="Cust 3273"/>
    <n v="185"/>
    <d v="2025-01-12T00:00:00"/>
    <d v="2025-01-21T00:00:00"/>
    <s v="Cameron"/>
    <x v="4"/>
  </r>
  <r>
    <n v="91"/>
    <d v="2023-04-02T00:00:00"/>
    <x v="2"/>
    <x v="4"/>
    <n v="19"/>
    <n v="236"/>
    <s v="Store A"/>
    <x v="2"/>
    <n v="0.1"/>
    <s v="Carlos"/>
    <n v="9575.1450000000004"/>
    <x v="2"/>
    <s v="WINTER15"/>
    <n v="0"/>
    <s v="REG100090"/>
    <s v="Cust 8160"/>
    <n v="352"/>
    <d v="2023-03-29T00:00:00"/>
    <d v="2023-04-03T00:00:00"/>
    <s v="Ryan"/>
    <x v="0"/>
  </r>
  <r>
    <n v="92"/>
    <d v="2023-04-03T00:00:00"/>
    <x v="2"/>
    <x v="2"/>
    <n v="8"/>
    <n v="954"/>
    <s v="Store C"/>
    <x v="0"/>
    <n v="0.05"/>
    <s v="Carlos"/>
    <n v="1367.24"/>
    <x v="0"/>
    <s v="SAVE10"/>
    <n v="0"/>
    <s v="REG100091"/>
    <s v="Cust 4439"/>
    <n v="196"/>
    <d v="2025-03-01T00:00:00"/>
    <d v="2025-03-05T00:00:00"/>
    <s v="Ryan"/>
    <x v="1"/>
  </r>
  <r>
    <n v="93"/>
    <d v="2023-04-04T00:00:00"/>
    <x v="2"/>
    <x v="3"/>
    <n v="12"/>
    <n v="592"/>
    <s v="Store B"/>
    <x v="0"/>
    <n v="0.15"/>
    <s v="Diana"/>
    <n v="5040.329999999999"/>
    <x v="0"/>
    <s v="SAVE10"/>
    <n v="1"/>
    <s v="REG100092"/>
    <s v="Cust 1127"/>
    <n v="207"/>
    <d v="2023-10-18T00:00:00"/>
    <d v="2023-10-20T00:00:00"/>
    <s v="Ryan"/>
    <x v="2"/>
  </r>
  <r>
    <n v="94"/>
    <d v="2023-04-05T00:00:00"/>
    <x v="0"/>
    <x v="2"/>
    <n v="10"/>
    <n v="770"/>
    <s v="Store C"/>
    <x v="1"/>
    <n v="0"/>
    <s v="Bob"/>
    <n v="4629.8999999999996"/>
    <x v="2"/>
    <s v="WINTER15"/>
    <n v="0"/>
    <s v="REG100093"/>
    <s v="Cust 4696"/>
    <n v="360"/>
    <d v="2025-04-13T00:00:00"/>
    <d v="2025-04-15T00:00:00"/>
    <s v="Eric"/>
    <x v="3"/>
  </r>
  <r>
    <n v="95"/>
    <d v="2023-04-06T00:00:00"/>
    <x v="3"/>
    <x v="0"/>
    <n v="7"/>
    <n v="286"/>
    <s v="Store A"/>
    <x v="2"/>
    <n v="0.05"/>
    <s v="Alice"/>
    <m/>
    <x v="4"/>
    <s v="SAVE10"/>
    <n v="1"/>
    <s v="REG100094"/>
    <s v="Cust 3014"/>
    <n v="465"/>
    <d v="2025-05-13T00:00:00"/>
    <d v="2025-05-23T00:00:00"/>
    <s v="Cameron"/>
    <x v="4"/>
  </r>
  <r>
    <n v="96"/>
    <d v="2023-04-07T00:00:00"/>
    <x v="4"/>
    <x v="6"/>
    <n v="17"/>
    <n v="985"/>
    <s v="Store B"/>
    <x v="0"/>
    <n v="0.05"/>
    <s v="Eva"/>
    <n v="4998.7479999999996"/>
    <x v="0"/>
    <s v="FREESHIP"/>
    <n v="0"/>
    <s v="REG100095"/>
    <s v="Cust 2539"/>
    <n v="309"/>
    <d v="2024-04-21T00:00:00"/>
    <d v="2024-04-27T00:00:00"/>
    <s v="Wendy"/>
    <x v="0"/>
  </r>
  <r>
    <n v="97"/>
    <d v="2023-04-08T00:00:00"/>
    <x v="3"/>
    <x v="4"/>
    <n v="1"/>
    <n v="545"/>
    <s v="Store B"/>
    <x v="0"/>
    <n v="0.05"/>
    <s v="Eva"/>
    <m/>
    <x v="2"/>
    <s v="WINTER15"/>
    <n v="0"/>
    <s v="REG100096"/>
    <s v="Cust 3916"/>
    <n v="141"/>
    <d v="2025-01-31T00:00:00"/>
    <d v="2025-02-08T00:00:00"/>
    <s v="Cameron"/>
    <x v="1"/>
  </r>
</pivotCacheRecords>
</file>

<file path=xl/pivotCache/pivotCacheRecords2.xml><?xml version="1.0" encoding="utf-8"?>
<pivotCacheRecords xmlns="http://schemas.openxmlformats.org/spreadsheetml/2006/main" xmlns:r="http://schemas.openxmlformats.org/officeDocument/2006/relationships" count="10">
  <r>
    <n v="1"/>
    <x v="0"/>
    <n v="196"/>
    <n v="1"/>
    <n v="1"/>
    <n v="80"/>
    <n v="196"/>
    <n v="80"/>
  </r>
  <r>
    <n v="2"/>
    <x v="1"/>
    <n v="350"/>
    <n v="2"/>
    <n v="2"/>
    <n v="21"/>
    <n v="350"/>
    <m/>
  </r>
  <r>
    <n v="3"/>
    <x v="2"/>
    <n v="180"/>
    <n v="3"/>
    <n v="3"/>
    <n v="56"/>
    <n v="180"/>
    <m/>
  </r>
  <r>
    <n v="4"/>
    <x v="3"/>
    <n v="219"/>
    <n v="4"/>
    <n v="4"/>
    <n v="200"/>
    <n v="219"/>
    <m/>
  </r>
  <r>
    <n v="5"/>
    <x v="4"/>
    <n v="184"/>
    <n v="25"/>
    <n v="35"/>
    <n v="22"/>
    <n v="184"/>
    <m/>
  </r>
  <r>
    <n v="6"/>
    <x v="5"/>
    <n v="232"/>
    <n v="6"/>
    <n v="6"/>
    <n v="42"/>
    <n v="232"/>
    <m/>
  </r>
  <r>
    <n v="7"/>
    <x v="6"/>
    <n v="290"/>
    <n v="7"/>
    <n v="7"/>
    <n v="21"/>
    <n v="290"/>
    <m/>
  </r>
  <r>
    <n v="8"/>
    <x v="7"/>
    <n v="235"/>
    <n v="8"/>
    <n v="8"/>
    <n v="78"/>
    <n v="235"/>
    <m/>
  </r>
  <r>
    <n v="9"/>
    <x v="8"/>
    <n v="134"/>
    <n v="9"/>
    <n v="9"/>
    <n v="82"/>
    <n v="134"/>
    <m/>
  </r>
  <r>
    <n v="10"/>
    <x v="9"/>
    <n v="181"/>
    <n v="10"/>
    <s v=" "/>
    <n v="24"/>
    <n v="18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Randomdata" cacheId="4" applyNumberFormats="0" applyBorderFormats="0" applyFontFormats="0" applyPatternFormats="0" applyAlignmentFormats="0" applyWidthHeightFormats="1" dataCaption="Values" updatedVersion="4" minRefreshableVersion="3" showDrill="0" useAutoFormatting="1" rowGrandTotals="0" colGrandTotals="0" itemPrintTitles="1" mergeItem="1" createdVersion="4" indent="0" compact="0" outline="1" outlineData="1" compactData="0" multipleFieldFilters="0" chartFormat="5">
  <location ref="AC53:AD63" firstHeaderRow="1" firstDataRow="1" firstDataCol="1"/>
  <pivotFields count="8">
    <pivotField compact="0" showAll="0" sortType="ascending" defaultSubtotal="0">
      <extLst>
        <ext xmlns:x14="http://schemas.microsoft.com/office/spreadsheetml/2009/9/main" uri="{2946ED86-A175-432a-8AC1-64E0C546D7DE}">
          <x14:pivotField fillDownLabels="1"/>
        </ext>
      </extLst>
    </pivotField>
    <pivotField axis="axisRow" compact="0" showAll="0" defaultSubtotal="0">
      <items count="10">
        <item x="2"/>
        <item x="0"/>
        <item x="5"/>
        <item x="1"/>
        <item x="7"/>
        <item x="4"/>
        <item x="8"/>
        <item x="3"/>
        <item x="9"/>
        <item x="6"/>
      </items>
      <extLst>
        <ext xmlns:x14="http://schemas.microsoft.com/office/spreadsheetml/2009/9/main" uri="{2946ED86-A175-432a-8AC1-64E0C546D7DE}">
          <x14:pivotField fillDownLabels="1"/>
        </ext>
      </extLst>
    </pivotField>
    <pivotField dataField="1" compact="0" showAll="0" defaultSubtotal="0">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s>
  <rowFields count="1">
    <field x="1"/>
  </rowFields>
  <rowItems count="10">
    <i>
      <x/>
    </i>
    <i>
      <x v="1"/>
    </i>
    <i>
      <x v="2"/>
    </i>
    <i>
      <x v="3"/>
    </i>
    <i>
      <x v="4"/>
    </i>
    <i>
      <x v="5"/>
    </i>
    <i>
      <x v="6"/>
    </i>
    <i>
      <x v="7"/>
    </i>
    <i>
      <x v="8"/>
    </i>
    <i>
      <x v="9"/>
    </i>
  </rowItems>
  <colItems count="1">
    <i/>
  </colItems>
  <dataFields count="1">
    <dataField name="Sum of Total" fld="2" baseField="0" baseItem="0"/>
  </dataFields>
  <chartFormats count="5">
    <chartFormat chart="1" format="12" series="1">
      <pivotArea type="data" outline="0" fieldPosition="0"/>
    </chartFormat>
    <chartFormat chart="1" format="23"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Medium18" showRowHeaders="1" showColHeaders="1" showRowStripes="1"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pivotTables/pivotTable2.xml><?xml version="1.0" encoding="utf-8"?>
<pivotTableDefinition xmlns="http://schemas.openxmlformats.org/spreadsheetml/2006/main" name="profit"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9:A10" firstHeaderRow="1" firstDataRow="1" firstDataCol="0"/>
  <pivotFields count="21">
    <pivotField showAll="0"/>
    <pivotField numFmtId="164" showAll="0"/>
    <pivotField showAll="0">
      <items count="6">
        <item x="3"/>
        <item x="0"/>
        <item x="2"/>
        <item x="1"/>
        <item x="4"/>
        <item t="default"/>
      </items>
    </pivotField>
    <pivotField showAll="0"/>
    <pivotField showAll="0"/>
    <pivotField dataField="1" showAll="0" defaultSubtotal="0"/>
    <pivotField showAll="0"/>
    <pivotField showAll="0"/>
    <pivotField showAll="0"/>
    <pivotField showAll="0"/>
    <pivotField showAll="0" defaultSubtotal="0"/>
    <pivotField showAll="0">
      <items count="6">
        <item x="4"/>
        <item x="2"/>
        <item x="3"/>
        <item x="1"/>
        <item x="0"/>
        <item t="default"/>
      </items>
    </pivotField>
    <pivotField showAll="0"/>
    <pivotField showAll="0"/>
    <pivotField showAll="0"/>
    <pivotField showAll="0"/>
    <pivotField showAll="0"/>
    <pivotField numFmtId="14" showAll="0"/>
    <pivotField numFmtId="164" showAll="0"/>
    <pivotField showAll="0"/>
    <pivotField showAll="0">
      <items count="6">
        <item x="0"/>
        <item x="3"/>
        <item x="2"/>
        <item x="1"/>
        <item x="4"/>
        <item t="default"/>
      </items>
    </pivotField>
  </pivotFields>
  <rowItems count="1">
    <i/>
  </rowItems>
  <colItems count="1">
    <i/>
  </colItems>
  <dataFields count="1">
    <dataField name="Sum of Profit" fld="5" baseField="0" baseItem="0"/>
  </dataFields>
  <formats count="1">
    <format dxfId="0">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ShippingCost"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C3:C4" firstHeaderRow="1" firstDataRow="1" firstDataCol="0"/>
  <pivotFields count="21">
    <pivotField showAll="0"/>
    <pivotField numFmtId="164" showAll="0"/>
    <pivotField showAll="0">
      <items count="6">
        <item x="3"/>
        <item x="0"/>
        <item x="2"/>
        <item x="1"/>
        <item x="4"/>
        <item t="default"/>
      </items>
    </pivotField>
    <pivotField showAll="0"/>
    <pivotField showAll="0"/>
    <pivotField showAll="0" defaultSubtotal="0"/>
    <pivotField showAll="0"/>
    <pivotField showAll="0"/>
    <pivotField showAll="0"/>
    <pivotField showAll="0"/>
    <pivotField showAll="0" defaultSubtotal="0"/>
    <pivotField showAll="0"/>
    <pivotField showAll="0"/>
    <pivotField showAll="0"/>
    <pivotField showAll="0"/>
    <pivotField showAll="0"/>
    <pivotField dataField="1" showAll="0"/>
    <pivotField numFmtId="14" showAll="0"/>
    <pivotField numFmtId="164" showAll="0"/>
    <pivotField showAll="0"/>
    <pivotField showAll="0"/>
  </pivotFields>
  <rowItems count="1">
    <i/>
  </rowItems>
  <colItems count="1">
    <i/>
  </colItems>
  <dataFields count="1">
    <dataField name="Sum of ShippingCost" fld="16" baseField="0" baseItem="0"/>
  </dataFields>
  <formats count="1">
    <format dxfId="1">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Citywiseprofit"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0">
  <location ref="I16:K22" firstHeaderRow="0" firstDataRow="1" firstDataCol="1"/>
  <pivotFields count="21">
    <pivotField showAll="0"/>
    <pivotField numFmtId="164" showAll="0"/>
    <pivotField showAll="0">
      <items count="6">
        <item x="3"/>
        <item x="0"/>
        <item x="2"/>
        <item x="1"/>
        <item x="4"/>
        <item t="default"/>
      </items>
    </pivotField>
    <pivotField showAll="0">
      <items count="8">
        <item x="3"/>
        <item x="2"/>
        <item x="0"/>
        <item x="4"/>
        <item x="1"/>
        <item x="6"/>
        <item x="5"/>
        <item t="default"/>
      </items>
    </pivotField>
    <pivotField showAll="0"/>
    <pivotField showAll="0" defaultSubtotal="0"/>
    <pivotField showAll="0"/>
    <pivotField showAll="0"/>
    <pivotField showAll="0"/>
    <pivotField showAll="0"/>
    <pivotField dataField="1" showAll="0" defaultSubtotal="0"/>
    <pivotField showAll="0">
      <items count="6">
        <item x="4"/>
        <item x="2"/>
        <item x="3"/>
        <item x="1"/>
        <item x="0"/>
        <item t="default"/>
      </items>
    </pivotField>
    <pivotField showAll="0"/>
    <pivotField showAll="0"/>
    <pivotField showAll="0"/>
    <pivotField showAll="0"/>
    <pivotField dataField="1" showAll="0"/>
    <pivotField numFmtId="14" showAll="0"/>
    <pivotField numFmtId="164" showAll="0"/>
    <pivotField showAll="0"/>
    <pivotField axis="axisRow" showAll="0">
      <items count="6">
        <item x="0"/>
        <item x="3"/>
        <item x="2"/>
        <item x="1"/>
        <item x="4"/>
        <item t="default"/>
      </items>
    </pivotField>
  </pivotFields>
  <rowFields count="1">
    <field x="20"/>
  </rowFields>
  <rowItems count="6">
    <i>
      <x/>
    </i>
    <i>
      <x v="1"/>
    </i>
    <i>
      <x v="2"/>
    </i>
    <i>
      <x v="3"/>
    </i>
    <i>
      <x v="4"/>
    </i>
    <i t="grand">
      <x/>
    </i>
  </rowItems>
  <colFields count="1">
    <field x="-2"/>
  </colFields>
  <colItems count="2">
    <i>
      <x/>
    </i>
    <i i="1">
      <x v="1"/>
    </i>
  </colItems>
  <dataFields count="2">
    <dataField name="Sum of Net Sales " fld="10" baseField="0" baseItem="0"/>
    <dataField name="Sum of ShippingCost" fld="16" baseField="0" baseItem="0"/>
  </dataFields>
  <formats count="1">
    <format dxfId="2">
      <pivotArea type="all" dataOnly="0" outline="0" fieldPosition="0"/>
    </format>
  </format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regionshippingcost"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A17:AB23" firstHeaderRow="1" firstDataRow="1" firstDataCol="1"/>
  <pivotFields count="21">
    <pivotField showAll="0"/>
    <pivotField numFmtId="164" showAll="0"/>
    <pivotField axis="axisRow" showAll="0">
      <items count="6">
        <item x="3"/>
        <item x="0"/>
        <item x="2"/>
        <item x="1"/>
        <item x="4"/>
        <item t="default"/>
      </items>
    </pivotField>
    <pivotField showAll="0">
      <items count="8">
        <item x="3"/>
        <item x="2"/>
        <item x="0"/>
        <item x="4"/>
        <item x="1"/>
        <item x="6"/>
        <item x="5"/>
        <item t="default"/>
      </items>
    </pivotField>
    <pivotField showAll="0"/>
    <pivotField showAll="0" defaultSubtotal="0"/>
    <pivotField showAll="0"/>
    <pivotField showAll="0"/>
    <pivotField showAll="0"/>
    <pivotField showAll="0"/>
    <pivotField showAll="0" defaultSubtotal="0"/>
    <pivotField showAll="0">
      <items count="6">
        <item x="4"/>
        <item x="2"/>
        <item x="3"/>
        <item x="1"/>
        <item x="0"/>
        <item t="default"/>
      </items>
    </pivotField>
    <pivotField showAll="0"/>
    <pivotField showAll="0"/>
    <pivotField showAll="0"/>
    <pivotField showAll="0"/>
    <pivotField dataField="1" showAll="0"/>
    <pivotField numFmtId="14" showAll="0"/>
    <pivotField numFmtId="164" showAll="0"/>
    <pivotField showAll="0"/>
    <pivotField showAll="0">
      <items count="6">
        <item x="0"/>
        <item x="3"/>
        <item x="2"/>
        <item x="1"/>
        <item x="4"/>
        <item t="default"/>
      </items>
    </pivotField>
  </pivotFields>
  <rowFields count="1">
    <field x="2"/>
  </rowFields>
  <rowItems count="6">
    <i>
      <x/>
    </i>
    <i>
      <x v="1"/>
    </i>
    <i>
      <x v="2"/>
    </i>
    <i>
      <x v="3"/>
    </i>
    <i>
      <x v="4"/>
    </i>
    <i t="grand">
      <x/>
    </i>
  </rowItems>
  <colItems count="1">
    <i/>
  </colItems>
  <dataFields count="1">
    <dataField name="Sum of ShippingCost" fld="16" showDataAs="percentOfTotal" baseField="0" baseItem="0" numFmtId="10"/>
  </dataFields>
  <formats count="2">
    <format dxfId="4">
      <pivotArea type="all" dataOnly="0" outline="0" fieldPosition="0"/>
    </format>
    <format dxfId="3">
      <pivotArea outline="0" fieldPosition="0">
        <references count="1">
          <reference field="4294967294" count="1">
            <x v="0"/>
          </reference>
        </references>
      </pivotArea>
    </format>
  </formats>
  <chartFormats count="1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1"/>
          </reference>
        </references>
      </pivotArea>
    </chartFormat>
    <chartFormat chart="1" format="2">
      <pivotArea type="data" outline="0" fieldPosition="0">
        <references count="2">
          <reference field="4294967294" count="1" selected="0">
            <x v="0"/>
          </reference>
          <reference field="2" count="1" selected="0">
            <x v="2"/>
          </reference>
        </references>
      </pivotArea>
    </chartFormat>
    <chartFormat chart="1" format="3">
      <pivotArea type="data" outline="0" fieldPosition="0">
        <references count="2">
          <reference field="4294967294" count="1" selected="0">
            <x v="0"/>
          </reference>
          <reference field="2" count="1" selected="0">
            <x v="3"/>
          </reference>
        </references>
      </pivotArea>
    </chartFormat>
    <chartFormat chart="1" format="4">
      <pivotArea type="data" outline="0" fieldPosition="0">
        <references count="2">
          <reference field="4294967294" count="1" selected="0">
            <x v="0"/>
          </reference>
          <reference field="2" count="1" selected="0">
            <x v="4"/>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2" count="1" selected="0">
            <x v="1"/>
          </reference>
        </references>
      </pivotArea>
    </chartFormat>
    <chartFormat chart="2" format="7">
      <pivotArea type="data" outline="0" fieldPosition="0">
        <references count="2">
          <reference field="4294967294" count="1" selected="0">
            <x v="0"/>
          </reference>
          <reference field="2" count="1" selected="0">
            <x v="2"/>
          </reference>
        </references>
      </pivotArea>
    </chartFormat>
    <chartFormat chart="2" format="8">
      <pivotArea type="data" outline="0" fieldPosition="0">
        <references count="2">
          <reference field="4294967294" count="1" selected="0">
            <x v="0"/>
          </reference>
          <reference field="2" count="1" selected="0">
            <x v="3"/>
          </reference>
        </references>
      </pivotArea>
    </chartFormat>
    <chartFormat chart="2" format="9">
      <pivotArea type="data" outline="0" fieldPosition="0">
        <references count="2">
          <reference field="4294967294" count="1" selected="0">
            <x v="0"/>
          </reference>
          <reference field="2" count="1" selected="0">
            <x v="4"/>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2" count="1" selected="0">
            <x v="1"/>
          </reference>
        </references>
      </pivotArea>
    </chartFormat>
    <chartFormat chart="3" format="12">
      <pivotArea type="data" outline="0" fieldPosition="0">
        <references count="2">
          <reference field="4294967294" count="1" selected="0">
            <x v="0"/>
          </reference>
          <reference field="2" count="1" selected="0">
            <x v="2"/>
          </reference>
        </references>
      </pivotArea>
    </chartFormat>
    <chartFormat chart="3" format="13">
      <pivotArea type="data" outline="0" fieldPosition="0">
        <references count="2">
          <reference field="4294967294" count="1" selected="0">
            <x v="0"/>
          </reference>
          <reference field="2" count="1" selected="0">
            <x v="3"/>
          </reference>
        </references>
      </pivotArea>
    </chartFormat>
    <chartFormat chart="3" format="14">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TotalPrice"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A4" firstHeaderRow="1" firstDataRow="1" firstDataCol="0"/>
  <pivotFields count="21">
    <pivotField showAll="0"/>
    <pivotField numFmtId="164" showAll="0"/>
    <pivotField showAll="0">
      <items count="6">
        <item x="3"/>
        <item x="0"/>
        <item x="2"/>
        <item x="1"/>
        <item x="4"/>
        <item t="default"/>
      </items>
    </pivotField>
    <pivotField showAll="0"/>
    <pivotField showAll="0"/>
    <pivotField showAll="0" defaultSubtotal="0"/>
    <pivotField showAll="0"/>
    <pivotField showAll="0"/>
    <pivotField showAll="0"/>
    <pivotField showAll="0"/>
    <pivotField dataField="1" showAll="0" defaultSubtotal="0"/>
    <pivotField showAll="0"/>
    <pivotField showAll="0"/>
    <pivotField showAll="0"/>
    <pivotField showAll="0"/>
    <pivotField showAll="0"/>
    <pivotField showAll="0"/>
    <pivotField numFmtId="14" showAll="0"/>
    <pivotField numFmtId="164" showAll="0"/>
    <pivotField showAll="0"/>
    <pivotField showAll="0"/>
  </pivotFields>
  <rowItems count="1">
    <i/>
  </rowItems>
  <colItems count="1">
    <i/>
  </colItems>
  <dataFields count="1">
    <dataField name="Sum of Net Sales " fld="10" baseField="0" baseItem="0"/>
  </dataFields>
  <formats count="1">
    <format dxfId="5">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Discount"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C9:C10" firstHeaderRow="1" firstDataRow="1" firstDataCol="0"/>
  <pivotFields count="21">
    <pivotField showAll="0"/>
    <pivotField numFmtId="164" showAll="0"/>
    <pivotField showAll="0">
      <items count="6">
        <item x="3"/>
        <item x="0"/>
        <item x="2"/>
        <item x="1"/>
        <item x="4"/>
        <item t="default"/>
      </items>
    </pivotField>
    <pivotField showAll="0">
      <items count="8">
        <item x="3"/>
        <item x="2"/>
        <item x="0"/>
        <item x="4"/>
        <item x="1"/>
        <item x="6"/>
        <item x="5"/>
        <item t="default"/>
      </items>
    </pivotField>
    <pivotField showAll="0"/>
    <pivotField showAll="0" defaultSubtotal="0"/>
    <pivotField showAll="0"/>
    <pivotField showAll="0"/>
    <pivotField dataField="1" showAll="0"/>
    <pivotField showAll="0"/>
    <pivotField showAll="0" defaultSubtotal="0"/>
    <pivotField showAll="0">
      <items count="6">
        <item x="4"/>
        <item x="2"/>
        <item x="3"/>
        <item x="1"/>
        <item x="0"/>
        <item t="default"/>
      </items>
    </pivotField>
    <pivotField showAll="0"/>
    <pivotField showAll="0"/>
    <pivotField showAll="0"/>
    <pivotField showAll="0"/>
    <pivotField showAll="0"/>
    <pivotField numFmtId="14" showAll="0"/>
    <pivotField numFmtId="164" showAll="0"/>
    <pivotField showAll="0"/>
    <pivotField showAll="0">
      <items count="6">
        <item x="0"/>
        <item x="3"/>
        <item x="2"/>
        <item x="1"/>
        <item x="4"/>
        <item t="default"/>
      </items>
    </pivotField>
  </pivotFields>
  <rowItems count="1">
    <i/>
  </rowItems>
  <colItems count="1">
    <i/>
  </colItems>
  <dataFields count="1">
    <dataField name="Sum of Discount" fld="8" baseField="0" baseItem="20312888"/>
  </dataFields>
  <formats count="2">
    <format dxfId="7">
      <pivotArea outline="0" collapsedLevelsAreSubtotals="1" fieldPosition="0"/>
    </format>
    <format dxfId="6">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aymentmethod"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F16:G22" firstHeaderRow="1" firstDataRow="1" firstDataCol="1"/>
  <pivotFields count="21">
    <pivotField showAll="0"/>
    <pivotField numFmtId="164" showAll="0"/>
    <pivotField showAll="0">
      <items count="6">
        <item x="3"/>
        <item x="0"/>
        <item x="2"/>
        <item x="1"/>
        <item x="4"/>
        <item t="default"/>
      </items>
    </pivotField>
    <pivotField showAll="0">
      <items count="8">
        <item x="3"/>
        <item x="2"/>
        <item x="0"/>
        <item x="4"/>
        <item x="1"/>
        <item x="6"/>
        <item x="5"/>
        <item t="default"/>
      </items>
    </pivotField>
    <pivotField showAll="0"/>
    <pivotField showAll="0" defaultSubtotal="0"/>
    <pivotField showAll="0"/>
    <pivotField showAll="0"/>
    <pivotField showAll="0"/>
    <pivotField showAll="0"/>
    <pivotField dataField="1" showAll="0" defaultSubtotal="0"/>
    <pivotField axis="axisRow" showAll="0">
      <items count="6">
        <item x="4"/>
        <item x="2"/>
        <item x="3"/>
        <item x="1"/>
        <item x="0"/>
        <item t="default"/>
      </items>
    </pivotField>
    <pivotField showAll="0"/>
    <pivotField showAll="0"/>
    <pivotField showAll="0"/>
    <pivotField showAll="0"/>
    <pivotField showAll="0"/>
    <pivotField numFmtId="14" showAll="0"/>
    <pivotField numFmtId="164" showAll="0"/>
    <pivotField showAll="0"/>
    <pivotField showAll="0">
      <items count="6">
        <item x="0"/>
        <item x="3"/>
        <item x="2"/>
        <item x="1"/>
        <item x="4"/>
        <item t="default"/>
      </items>
    </pivotField>
  </pivotFields>
  <rowFields count="1">
    <field x="11"/>
  </rowFields>
  <rowItems count="6">
    <i>
      <x/>
    </i>
    <i>
      <x v="1"/>
    </i>
    <i>
      <x v="2"/>
    </i>
    <i>
      <x v="3"/>
    </i>
    <i>
      <x v="4"/>
    </i>
    <i t="grand">
      <x/>
    </i>
  </rowItems>
  <colItems count="1">
    <i/>
  </colItems>
  <dataFields count="1">
    <dataField name="Sum of Net Sales " fld="10" baseField="0" baseItem="0"/>
  </dataFields>
  <formats count="1">
    <format dxfId="8">
      <pivotArea type="all" dataOnly="0" outline="0"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Netregionprofit"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0">
  <location ref="A16:C22" firstHeaderRow="0" firstDataRow="1" firstDataCol="1"/>
  <pivotFields count="21">
    <pivotField showAll="0"/>
    <pivotField numFmtId="164" showAll="0"/>
    <pivotField axis="axisRow" showAll="0">
      <items count="6">
        <item x="3"/>
        <item x="0"/>
        <item x="2"/>
        <item x="1"/>
        <item x="4"/>
        <item t="default"/>
      </items>
    </pivotField>
    <pivotField showAll="0">
      <items count="8">
        <item x="3"/>
        <item x="2"/>
        <item x="0"/>
        <item x="4"/>
        <item x="1"/>
        <item x="6"/>
        <item x="5"/>
        <item t="default"/>
      </items>
    </pivotField>
    <pivotField showAll="0"/>
    <pivotField dataField="1" showAll="0" defaultSubtotal="0"/>
    <pivotField showAll="0"/>
    <pivotField showAll="0"/>
    <pivotField showAll="0"/>
    <pivotField showAll="0"/>
    <pivotField dataField="1" showAll="0" defaultSubtotal="0"/>
    <pivotField showAll="0">
      <items count="6">
        <item x="4"/>
        <item x="2"/>
        <item x="3"/>
        <item x="1"/>
        <item x="0"/>
        <item t="default"/>
      </items>
    </pivotField>
    <pivotField showAll="0"/>
    <pivotField showAll="0"/>
    <pivotField showAll="0"/>
    <pivotField showAll="0"/>
    <pivotField showAll="0"/>
    <pivotField numFmtId="14" showAll="0"/>
    <pivotField numFmtId="164" showAll="0"/>
    <pivotField showAll="0"/>
    <pivotField showAll="0">
      <items count="6">
        <item x="0"/>
        <item x="3"/>
        <item x="2"/>
        <item x="1"/>
        <item x="4"/>
        <item t="default"/>
      </items>
    </pivotField>
  </pivotFields>
  <rowFields count="1">
    <field x="2"/>
  </rowFields>
  <rowItems count="6">
    <i>
      <x/>
    </i>
    <i>
      <x v="1"/>
    </i>
    <i>
      <x v="2"/>
    </i>
    <i>
      <x v="3"/>
    </i>
    <i>
      <x v="4"/>
    </i>
    <i t="grand">
      <x/>
    </i>
  </rowItems>
  <colFields count="1">
    <field x="-2"/>
  </colFields>
  <colItems count="2">
    <i>
      <x/>
    </i>
    <i i="1">
      <x v="1"/>
    </i>
  </colItems>
  <dataFields count="2">
    <dataField name="Sum of Net Sales " fld="10" baseField="0" baseItem="0"/>
    <dataField name="Sum of Profit" fld="5" baseField="0" baseItem="0"/>
  </dataFields>
  <chartFormats count="1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gender"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U18:V22" firstHeaderRow="1" firstDataRow="1" firstDataCol="1"/>
  <pivotFields count="21">
    <pivotField showAll="0"/>
    <pivotField numFmtId="164" showAll="0"/>
    <pivotField showAll="0">
      <items count="6">
        <item x="3"/>
        <item x="0"/>
        <item x="2"/>
        <item x="1"/>
        <item x="4"/>
        <item t="default"/>
      </items>
    </pivotField>
    <pivotField showAll="0">
      <items count="8">
        <item x="3"/>
        <item x="2"/>
        <item x="0"/>
        <item x="4"/>
        <item x="1"/>
        <item x="6"/>
        <item x="5"/>
        <item t="default"/>
      </items>
    </pivotField>
    <pivotField showAll="0"/>
    <pivotField showAll="0" defaultSubtotal="0"/>
    <pivotField showAll="0"/>
    <pivotField axis="axisRow" showAll="0">
      <items count="4">
        <item x="1"/>
        <item x="2"/>
        <item x="0"/>
        <item t="default"/>
      </items>
    </pivotField>
    <pivotField showAll="0"/>
    <pivotField showAll="0"/>
    <pivotField dataField="1" showAll="0" defaultSubtotal="0"/>
    <pivotField showAll="0">
      <items count="6">
        <item x="4"/>
        <item x="2"/>
        <item x="3"/>
        <item x="1"/>
        <item x="0"/>
        <item t="default"/>
      </items>
    </pivotField>
    <pivotField showAll="0"/>
    <pivotField showAll="0"/>
    <pivotField showAll="0"/>
    <pivotField showAll="0"/>
    <pivotField showAll="0"/>
    <pivotField numFmtId="14" showAll="0"/>
    <pivotField numFmtId="164" showAll="0"/>
    <pivotField showAll="0"/>
    <pivotField showAll="0">
      <items count="6">
        <item x="0"/>
        <item x="3"/>
        <item x="2"/>
        <item x="1"/>
        <item x="4"/>
        <item t="default"/>
      </items>
    </pivotField>
  </pivotFields>
  <rowFields count="1">
    <field x="7"/>
  </rowFields>
  <rowItems count="4">
    <i>
      <x/>
    </i>
    <i>
      <x v="1"/>
    </i>
    <i>
      <x v="2"/>
    </i>
    <i t="grand">
      <x/>
    </i>
  </rowItems>
  <colItems count="1">
    <i/>
  </colItems>
  <dataFields count="1">
    <dataField name="Sum of Net Sales " fld="10" baseField="0" baseItem="0"/>
  </dataFields>
  <formats count="1">
    <format dxfId="9">
      <pivotArea type="all" dataOnly="0" outline="0" fieldPosition="0"/>
    </format>
  </formats>
  <chartFormats count="8">
    <chartFormat chart="1" format="0"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7" count="1" selected="0">
            <x v="2"/>
          </reference>
        </references>
      </pivotArea>
    </chartFormat>
    <chartFormat chart="1" format="3">
      <pivotArea type="data" outline="0" fieldPosition="0">
        <references count="2">
          <reference field="4294967294" count="1" selected="0">
            <x v="0"/>
          </reference>
          <reference field="7" count="1" selected="0">
            <x v="0"/>
          </reference>
        </references>
      </pivotArea>
    </chartFormat>
    <chartFormat chart="1" format="4">
      <pivotArea type="data" outline="0" fieldPosition="0">
        <references count="2">
          <reference field="4294967294" count="1" selected="0">
            <x v="0"/>
          </reference>
          <reference field="7" count="1" selected="0">
            <x v="1"/>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7" count="1" selected="0">
            <x v="0"/>
          </reference>
        </references>
      </pivotArea>
    </chartFormat>
    <chartFormat chart="3" format="11">
      <pivotArea type="data" outline="0" fieldPosition="0">
        <references count="2">
          <reference field="4294967294" count="1" selected="0">
            <x v="0"/>
          </reference>
          <reference field="7" count="1" selected="0">
            <x v="1"/>
          </reference>
        </references>
      </pivotArea>
    </chartFormat>
    <chartFormat chart="3" format="12">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roductnetsales"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N14:O22" firstHeaderRow="1" firstDataRow="1" firstDataCol="1"/>
  <pivotFields count="21">
    <pivotField showAll="0"/>
    <pivotField numFmtId="164" showAll="0"/>
    <pivotField showAll="0">
      <items count="6">
        <item x="3"/>
        <item x="0"/>
        <item x="2"/>
        <item x="1"/>
        <item x="4"/>
        <item t="default"/>
      </items>
    </pivotField>
    <pivotField axis="axisRow" showAll="0">
      <items count="8">
        <item x="3"/>
        <item x="2"/>
        <item x="0"/>
        <item x="4"/>
        <item x="1"/>
        <item x="6"/>
        <item x="5"/>
        <item t="default"/>
      </items>
    </pivotField>
    <pivotField showAll="0"/>
    <pivotField showAll="0" defaultSubtotal="0"/>
    <pivotField showAll="0"/>
    <pivotField showAll="0"/>
    <pivotField showAll="0"/>
    <pivotField showAll="0"/>
    <pivotField dataField="1" showAll="0" defaultSubtotal="0"/>
    <pivotField showAll="0">
      <items count="6">
        <item x="4"/>
        <item x="2"/>
        <item x="3"/>
        <item x="1"/>
        <item x="0"/>
        <item t="default"/>
      </items>
    </pivotField>
    <pivotField showAll="0"/>
    <pivotField showAll="0"/>
    <pivotField showAll="0"/>
    <pivotField showAll="0"/>
    <pivotField showAll="0"/>
    <pivotField numFmtId="14" showAll="0"/>
    <pivotField numFmtId="164" showAll="0"/>
    <pivotField showAll="0"/>
    <pivotField showAll="0">
      <items count="6">
        <item x="0"/>
        <item x="3"/>
        <item x="2"/>
        <item x="1"/>
        <item x="4"/>
        <item t="default"/>
      </items>
    </pivotField>
  </pivotFields>
  <rowFields count="1">
    <field x="3"/>
  </rowFields>
  <rowItems count="8">
    <i>
      <x/>
    </i>
    <i>
      <x v="1"/>
    </i>
    <i>
      <x v="2"/>
    </i>
    <i>
      <x v="3"/>
    </i>
    <i>
      <x v="4"/>
    </i>
    <i>
      <x v="5"/>
    </i>
    <i>
      <x v="6"/>
    </i>
    <i t="grand">
      <x/>
    </i>
  </rowItems>
  <colItems count="1">
    <i/>
  </colItems>
  <dataFields count="1">
    <dataField name="Sum of Net Sales " fld="10" baseField="0" baseItem="0"/>
  </dataFields>
  <formats count="1">
    <format dxfId="10">
      <pivotArea type="all" dataOnly="0" outline="0" fieldPosition="0"/>
    </format>
  </formats>
  <chartFormats count="2">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Names" sourceName="Names">
  <pivotTables>
    <pivotTable tabId="1" name="Randomdata"/>
  </pivotTables>
  <data>
    <tabular pivotCacheId="1" sortOrder="descending">
      <items count="10">
        <i x="6" s="1"/>
        <i x="9" s="1"/>
        <i x="3" s="1"/>
        <i x="8" s="1"/>
        <i x="4" s="1"/>
        <i x="7" s="1"/>
        <i x="1" s="1"/>
        <i x="5"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13" name="Netregionprofit"/>
    <pivotTable tabId="13" name="Citywiseprofit"/>
    <pivotTable tabId="13" name="Discount"/>
    <pivotTable tabId="13" name="regionshippingcost"/>
    <pivotTable tabId="13" name="gender"/>
    <pivotTable tabId="13" name="paymentmethod"/>
    <pivotTable tabId="13" name="productnetsales"/>
  </pivotTables>
  <data>
    <tabular pivotCacheId="2">
      <items count="7">
        <i x="3" s="1"/>
        <i x="2" s="1"/>
        <i x="0" s="1"/>
        <i x="4" s="1"/>
        <i x="1"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aymentMethod" sourceName="PaymentMethod">
  <pivotTables>
    <pivotTable tabId="13" name="Netregionprofit"/>
    <pivotTable tabId="13" name="Citywiseprofit"/>
    <pivotTable tabId="13" name="Discount"/>
    <pivotTable tabId="13" name="gender"/>
    <pivotTable tabId="13" name="paymentmethod"/>
    <pivotTable tabId="13" name="productnetsales"/>
    <pivotTable tabId="13" name="profit"/>
    <pivotTable tabId="13" name="regionshippingcost"/>
  </pivotTables>
  <data>
    <tabular pivotCacheId="2">
      <items count="5">
        <i x="4" s="1"/>
        <i x="2" s="1"/>
        <i x="3"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13" name="Citywiseprofit"/>
    <pivotTable tabId="13" name="Discount"/>
    <pivotTable tabId="13" name="gender"/>
    <pivotTable tabId="13" name="Netregionprofit"/>
    <pivotTable tabId="13" name="paymentmethod"/>
    <pivotTable tabId="13" name="productnetsales"/>
    <pivotTable tabId="13" name="profit"/>
    <pivotTable tabId="13" name="regionshippingcost"/>
  </pivotTables>
  <data>
    <tabular pivotCacheId="2">
      <items count="5">
        <i x="0" s="1"/>
        <i x="3" s="1"/>
        <i x="2" s="1"/>
        <i x="1"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13" name="Netregionprofit"/>
    <pivotTable tabId="13" name="Citywiseprofit"/>
    <pivotTable tabId="13" name="Discount"/>
    <pivotTable tabId="13" name="gender"/>
    <pivotTable tabId="13" name="paymentmethod"/>
    <pivotTable tabId="13" name="productnetsales"/>
    <pivotTable tabId="13" name="profit"/>
    <pivotTable tabId="13" name="regionshippingcost"/>
    <pivotTable tabId="13" name="ShippingCost"/>
    <pivotTable tabId="13" name="TotalPrice"/>
  </pivotTables>
  <data>
    <tabular pivotCacheId="2">
      <items count="5">
        <i x="3" s="1"/>
        <i x="0"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Names" cache="Slicer_Names" caption="Names" startItem="2"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Product" cache="Slicer_Product" caption="Product" rowHeight="234950"/>
  <slicer name="PaymentMethod" cache="Slicer_PaymentMethod" caption="PaymentMethod" rowHeight="234950"/>
  <slicer name="city" cache="Slicer_city" caption="city" rowHeight="234950"/>
  <slicer name="Region" cache="Slicer_Region" caption="Region"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Product 1" cache="Slicer_Product" caption="Product" style="SlicerStyleLight3" rowHeight="234950"/>
  <slicer name="PaymentMethod 1" cache="Slicer_PaymentMethod" caption="PaymentMethod" style="SlicerStyleLight4" rowHeight="234950"/>
  <slicer name="city 1" cache="Slicer_city" caption="city" style="SlicerStyleLight2" rowHeight="234950"/>
  <slicer name="Region 1" cache="Slicer_Region" caption="Region" style="SlicerStyleLight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microsoft.com/office/2007/relationships/slicer" Target="../slicers/slicer2.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drawing" Target="../drawings/drawing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O1502"/>
  <sheetViews>
    <sheetView topLeftCell="L16" zoomScale="55" zoomScaleNormal="55" workbookViewId="0">
      <selection activeCell="AG56" sqref="AG56"/>
    </sheetView>
  </sheetViews>
  <sheetFormatPr defaultRowHeight="14.4"/>
  <cols>
    <col min="1" max="1" width="5.5546875" bestFit="1" customWidth="1"/>
    <col min="2" max="2" width="11" bestFit="1" customWidth="1"/>
    <col min="3" max="3" width="7.33203125" bestFit="1" customWidth="1"/>
    <col min="4" max="4" width="8" bestFit="1" customWidth="1"/>
    <col min="5" max="5" width="8.77734375" bestFit="1" customWidth="1"/>
    <col min="6" max="6" width="9.109375" bestFit="1" customWidth="1"/>
    <col min="7" max="7" width="13" bestFit="1" customWidth="1"/>
    <col min="8" max="8" width="13.6640625" bestFit="1" customWidth="1"/>
    <col min="9" max="9" width="11.6640625" bestFit="1" customWidth="1"/>
    <col min="10" max="10" width="11.5546875" bestFit="1" customWidth="1"/>
    <col min="11" max="11" width="10.77734375" bestFit="1" customWidth="1"/>
    <col min="12" max="12" width="15.77734375" bestFit="1" customWidth="1"/>
    <col min="13" max="13" width="10.5546875" bestFit="1" customWidth="1"/>
    <col min="14" max="14" width="9.21875" bestFit="1" customWidth="1"/>
    <col min="15" max="15" width="11.21875" bestFit="1" customWidth="1"/>
    <col min="16" max="16" width="14.88671875" bestFit="1" customWidth="1"/>
    <col min="17" max="17" width="20.88671875" bestFit="1" customWidth="1"/>
    <col min="18" max="18" width="11.109375" bestFit="1" customWidth="1"/>
    <col min="19" max="19" width="12.88671875" bestFit="1" customWidth="1"/>
    <col min="20" max="20" width="15.109375" bestFit="1" customWidth="1"/>
    <col min="21" max="21" width="10.6640625" bestFit="1" customWidth="1"/>
    <col min="24" max="24" width="10.33203125" bestFit="1" customWidth="1"/>
    <col min="26" max="26" width="9" bestFit="1" customWidth="1"/>
    <col min="27" max="27" width="10.33203125" bestFit="1" customWidth="1"/>
    <col min="29" max="29" width="15.88671875" customWidth="1"/>
    <col min="30" max="30" width="13.88671875" customWidth="1"/>
    <col min="31" max="40" width="12.44140625" customWidth="1"/>
    <col min="41" max="47" width="12.44140625" bestFit="1" customWidth="1"/>
  </cols>
  <sheetData>
    <row r="1" spans="1:35" ht="31.2">
      <c r="A1" s="48" t="s">
        <v>250</v>
      </c>
      <c r="B1" s="49"/>
      <c r="C1" s="49"/>
      <c r="D1" s="49"/>
      <c r="E1" s="49"/>
      <c r="F1" s="49"/>
      <c r="G1" s="49"/>
      <c r="H1" s="49"/>
      <c r="I1" s="49"/>
      <c r="J1" s="49"/>
      <c r="K1" s="49"/>
      <c r="L1" s="49"/>
      <c r="M1" s="49"/>
      <c r="N1" s="49"/>
      <c r="O1" s="49"/>
      <c r="P1" s="49"/>
      <c r="Q1" s="49"/>
      <c r="R1" s="49"/>
      <c r="S1" s="49"/>
      <c r="T1" s="4"/>
    </row>
    <row r="2" spans="1:35">
      <c r="A2" s="5" t="s">
        <v>251</v>
      </c>
      <c r="B2" s="6" t="s">
        <v>0</v>
      </c>
      <c r="C2" s="6" t="s">
        <v>1</v>
      </c>
      <c r="D2" s="6" t="s">
        <v>2</v>
      </c>
      <c r="E2" s="6" t="s">
        <v>3</v>
      </c>
      <c r="F2" s="6" t="s">
        <v>4</v>
      </c>
      <c r="G2" s="6" t="s">
        <v>5</v>
      </c>
      <c r="H2" s="6" t="s">
        <v>6</v>
      </c>
      <c r="I2" s="6" t="s">
        <v>7</v>
      </c>
      <c r="J2" s="6" t="s">
        <v>8</v>
      </c>
      <c r="K2" s="6" t="s">
        <v>9</v>
      </c>
      <c r="L2" s="6" t="s">
        <v>10</v>
      </c>
      <c r="M2" s="6" t="s">
        <v>11</v>
      </c>
      <c r="N2" s="6" t="s">
        <v>12</v>
      </c>
      <c r="O2" s="6" t="s">
        <v>13</v>
      </c>
      <c r="P2" s="6" t="s">
        <v>14</v>
      </c>
      <c r="Q2" s="6" t="s">
        <v>15</v>
      </c>
      <c r="R2" s="6" t="s">
        <v>16</v>
      </c>
      <c r="S2" s="6" t="s">
        <v>17</v>
      </c>
      <c r="T2" s="6" t="s">
        <v>18</v>
      </c>
    </row>
    <row r="3" spans="1:35">
      <c r="A3" s="7">
        <v>1</v>
      </c>
      <c r="B3" s="8">
        <v>44980</v>
      </c>
      <c r="C3" s="9" t="s">
        <v>19</v>
      </c>
      <c r="D3" s="9" t="s">
        <v>24</v>
      </c>
      <c r="E3" s="9">
        <v>14</v>
      </c>
      <c r="F3" s="9">
        <v>163.6</v>
      </c>
      <c r="G3" s="9" t="s">
        <v>31</v>
      </c>
      <c r="H3" s="9" t="s">
        <v>35</v>
      </c>
      <c r="I3" s="23">
        <v>0</v>
      </c>
      <c r="J3" s="9" t="s">
        <v>37</v>
      </c>
      <c r="K3" s="9">
        <v>2290.4</v>
      </c>
      <c r="L3" s="9" t="s">
        <v>43</v>
      </c>
      <c r="M3" s="9" t="s">
        <v>48</v>
      </c>
      <c r="N3" s="9">
        <v>0</v>
      </c>
      <c r="O3" s="9" t="s">
        <v>51</v>
      </c>
      <c r="P3" s="9" t="s">
        <v>148</v>
      </c>
      <c r="Q3" s="21">
        <v>43.34</v>
      </c>
      <c r="R3" s="13">
        <v>44980</v>
      </c>
      <c r="S3" s="8">
        <v>44984</v>
      </c>
      <c r="T3" s="27">
        <v>0.61805555555555558</v>
      </c>
      <c r="U3" s="31">
        <f>COUNTIF(D3:D99,D89)</f>
        <v>15</v>
      </c>
    </row>
    <row r="4" spans="1:35">
      <c r="A4" s="7">
        <v>2</v>
      </c>
      <c r="B4" s="8">
        <v>45645</v>
      </c>
      <c r="C4" s="9" t="s">
        <v>20</v>
      </c>
      <c r="D4" s="9" t="s">
        <v>25</v>
      </c>
      <c r="E4" s="9">
        <v>1</v>
      </c>
      <c r="F4" s="9">
        <v>544.01</v>
      </c>
      <c r="G4" s="9" t="s">
        <v>32</v>
      </c>
      <c r="H4" s="9" t="s">
        <v>36</v>
      </c>
      <c r="I4" s="23">
        <v>0</v>
      </c>
      <c r="J4" s="9" t="s">
        <v>38</v>
      </c>
      <c r="K4" s="9">
        <v>544.01</v>
      </c>
      <c r="L4" s="9" t="s">
        <v>44</v>
      </c>
      <c r="M4" s="9" t="s">
        <v>49</v>
      </c>
      <c r="N4" s="11">
        <v>0</v>
      </c>
      <c r="O4" s="9" t="s">
        <v>52</v>
      </c>
      <c r="P4" s="9" t="s">
        <v>149</v>
      </c>
      <c r="Q4" s="21">
        <v>5.3</v>
      </c>
      <c r="R4" s="13">
        <v>45645</v>
      </c>
      <c r="S4" s="8">
        <v>45654</v>
      </c>
      <c r="T4" s="27">
        <v>0.65972222222222199</v>
      </c>
      <c r="U4" s="12"/>
    </row>
    <row r="5" spans="1:35">
      <c r="A5" s="7">
        <v>3</v>
      </c>
      <c r="B5" s="8">
        <v>45056</v>
      </c>
      <c r="C5" s="9" t="s">
        <v>21</v>
      </c>
      <c r="D5" s="9" t="s">
        <v>26</v>
      </c>
      <c r="E5" s="9">
        <v>14</v>
      </c>
      <c r="F5" s="9">
        <v>346.18</v>
      </c>
      <c r="G5" s="9" t="s">
        <v>31</v>
      </c>
      <c r="H5" s="9" t="s">
        <v>35</v>
      </c>
      <c r="I5" s="23">
        <v>0.1</v>
      </c>
      <c r="J5" s="9" t="s">
        <v>38</v>
      </c>
      <c r="K5" s="9">
        <v>4361.8680000000004</v>
      </c>
      <c r="L5" s="9" t="s">
        <v>43</v>
      </c>
      <c r="M5" s="9" t="s">
        <v>50</v>
      </c>
      <c r="N5" s="9">
        <v>0</v>
      </c>
      <c r="O5" s="9" t="s">
        <v>53</v>
      </c>
      <c r="P5" s="9" t="s">
        <v>150</v>
      </c>
      <c r="Q5" s="21">
        <v>20.46</v>
      </c>
      <c r="R5" s="13">
        <v>45056</v>
      </c>
      <c r="S5" s="8">
        <v>45065</v>
      </c>
      <c r="T5" s="27">
        <v>0.70138888888888895</v>
      </c>
      <c r="U5" s="12"/>
    </row>
    <row r="6" spans="1:35">
      <c r="A6" s="7">
        <v>4</v>
      </c>
      <c r="B6" s="8">
        <v>45714</v>
      </c>
      <c r="C6" s="9" t="s">
        <v>22</v>
      </c>
      <c r="D6" s="9" t="s">
        <v>27</v>
      </c>
      <c r="E6" s="9">
        <v>18</v>
      </c>
      <c r="F6" s="9">
        <v>384.82</v>
      </c>
      <c r="G6" s="9" t="s">
        <v>32</v>
      </c>
      <c r="H6" s="9" t="s">
        <v>35</v>
      </c>
      <c r="I6" s="23">
        <v>0.15</v>
      </c>
      <c r="J6" s="9" t="s">
        <v>39</v>
      </c>
      <c r="K6" s="9">
        <v>5887.7460000000001</v>
      </c>
      <c r="L6" s="9" t="s">
        <v>44</v>
      </c>
      <c r="M6" s="9" t="s">
        <v>48</v>
      </c>
      <c r="N6" s="9">
        <v>0</v>
      </c>
      <c r="O6" s="9" t="s">
        <v>54</v>
      </c>
      <c r="P6" s="9" t="s">
        <v>151</v>
      </c>
      <c r="Q6" s="21">
        <v>27.95</v>
      </c>
      <c r="R6" s="13">
        <v>45714</v>
      </c>
      <c r="S6" s="8">
        <v>45718</v>
      </c>
      <c r="T6" s="27">
        <v>0.74305555555555602</v>
      </c>
      <c r="U6" s="12"/>
    </row>
    <row r="7" spans="1:35">
      <c r="A7" s="7">
        <v>5</v>
      </c>
      <c r="B7" s="8">
        <v>45101</v>
      </c>
      <c r="C7" s="9" t="s">
        <v>19</v>
      </c>
      <c r="D7" s="9" t="s">
        <v>26</v>
      </c>
      <c r="E7" s="9">
        <v>18</v>
      </c>
      <c r="F7" s="9">
        <v>237.76</v>
      </c>
      <c r="G7" s="9" t="s">
        <v>33</v>
      </c>
      <c r="H7" s="9" t="s">
        <v>36</v>
      </c>
      <c r="I7" s="23">
        <v>0</v>
      </c>
      <c r="J7" s="9" t="s">
        <v>40</v>
      </c>
      <c r="K7" s="9">
        <v>4279.68</v>
      </c>
      <c r="L7" s="9" t="s">
        <v>43</v>
      </c>
      <c r="M7" s="9" t="s">
        <v>49</v>
      </c>
      <c r="N7" s="9">
        <v>0</v>
      </c>
      <c r="O7" s="9" t="s">
        <v>55</v>
      </c>
      <c r="P7" s="9" t="s">
        <v>152</v>
      </c>
      <c r="Q7" s="21">
        <v>5.73</v>
      </c>
      <c r="R7" s="13">
        <v>45101</v>
      </c>
      <c r="S7" s="8">
        <v>45104</v>
      </c>
      <c r="T7" s="27">
        <v>0.78472222222222199</v>
      </c>
      <c r="U7" s="12"/>
    </row>
    <row r="8" spans="1:35">
      <c r="A8" s="7">
        <v>6</v>
      </c>
      <c r="B8" s="8">
        <v>45342</v>
      </c>
      <c r="C8" s="9" t="s">
        <v>22</v>
      </c>
      <c r="D8" s="9" t="s">
        <v>28</v>
      </c>
      <c r="E8" s="9">
        <v>2</v>
      </c>
      <c r="F8" s="9">
        <v>385.09</v>
      </c>
      <c r="G8" s="9" t="s">
        <v>34</v>
      </c>
      <c r="H8" s="9" t="s">
        <v>35</v>
      </c>
      <c r="I8" s="23">
        <v>0.15</v>
      </c>
      <c r="J8" s="9" t="s">
        <v>41</v>
      </c>
      <c r="K8" s="9">
        <v>654.65299999999991</v>
      </c>
      <c r="L8" s="9" t="s">
        <v>45</v>
      </c>
      <c r="M8" s="9"/>
      <c r="N8" s="9">
        <v>0</v>
      </c>
      <c r="O8" s="9" t="s">
        <v>56</v>
      </c>
      <c r="P8" s="9" t="s">
        <v>153</v>
      </c>
      <c r="Q8" s="21">
        <v>11.92</v>
      </c>
      <c r="R8" s="13">
        <v>45342</v>
      </c>
      <c r="S8" s="8">
        <v>45352</v>
      </c>
      <c r="T8" s="27">
        <v>0.82638888888888895</v>
      </c>
      <c r="U8" s="12"/>
    </row>
    <row r="9" spans="1:35">
      <c r="A9" s="7">
        <v>7</v>
      </c>
      <c r="B9" s="8">
        <v>44937</v>
      </c>
      <c r="C9" s="9" t="s">
        <v>20</v>
      </c>
      <c r="D9" s="9" t="s">
        <v>27</v>
      </c>
      <c r="E9" s="9">
        <v>7</v>
      </c>
      <c r="F9" s="9">
        <v>17.5</v>
      </c>
      <c r="G9" s="9" t="s">
        <v>33</v>
      </c>
      <c r="H9" s="9" t="s">
        <v>36</v>
      </c>
      <c r="I9" s="23">
        <v>0.1</v>
      </c>
      <c r="J9" s="9" t="s">
        <v>38</v>
      </c>
      <c r="K9" s="9">
        <v>110.25</v>
      </c>
      <c r="L9" s="9" t="s">
        <v>46</v>
      </c>
      <c r="M9" s="9" t="s">
        <v>50</v>
      </c>
      <c r="N9" s="9">
        <v>0</v>
      </c>
      <c r="O9" s="9" t="s">
        <v>57</v>
      </c>
      <c r="P9" s="9" t="s">
        <v>154</v>
      </c>
      <c r="Q9" s="21">
        <v>5.0199999999999996</v>
      </c>
      <c r="R9" s="13">
        <v>44937</v>
      </c>
      <c r="S9" s="8">
        <v>44940</v>
      </c>
      <c r="T9" s="27">
        <v>0.86805555555555602</v>
      </c>
      <c r="U9" s="12"/>
    </row>
    <row r="10" spans="1:35">
      <c r="A10" s="7">
        <v>8</v>
      </c>
      <c r="B10" s="8">
        <v>44935</v>
      </c>
      <c r="C10" s="9" t="s">
        <v>22</v>
      </c>
      <c r="D10" s="9" t="s">
        <v>27</v>
      </c>
      <c r="E10" s="9">
        <v>3</v>
      </c>
      <c r="F10" s="9">
        <v>330.22</v>
      </c>
      <c r="G10" s="9" t="s">
        <v>33</v>
      </c>
      <c r="H10" s="9" t="s">
        <v>35</v>
      </c>
      <c r="I10" s="23">
        <v>0.15</v>
      </c>
      <c r="J10" s="9" t="s">
        <v>40</v>
      </c>
      <c r="K10" s="9">
        <v>842.06100000000004</v>
      </c>
      <c r="L10" s="9" t="s">
        <v>47</v>
      </c>
      <c r="M10" s="9"/>
      <c r="N10" s="9">
        <v>0</v>
      </c>
      <c r="O10" s="9" t="s">
        <v>58</v>
      </c>
      <c r="P10" s="9" t="s">
        <v>155</v>
      </c>
      <c r="Q10" s="21">
        <v>48.01</v>
      </c>
      <c r="R10" s="13">
        <v>44935</v>
      </c>
      <c r="S10" s="8">
        <v>44937</v>
      </c>
      <c r="T10" s="27">
        <v>0.90972222222222199</v>
      </c>
      <c r="U10" s="12"/>
    </row>
    <row r="11" spans="1:35">
      <c r="A11" s="7">
        <v>9</v>
      </c>
      <c r="B11" s="8">
        <v>45581</v>
      </c>
      <c r="C11" s="9" t="s">
        <v>20</v>
      </c>
      <c r="D11" s="9" t="s">
        <v>27</v>
      </c>
      <c r="E11" s="9">
        <v>3</v>
      </c>
      <c r="F11" s="9">
        <v>432.04</v>
      </c>
      <c r="G11" s="9" t="s">
        <v>34</v>
      </c>
      <c r="H11" s="9" t="s">
        <v>35</v>
      </c>
      <c r="I11" s="23">
        <v>0.05</v>
      </c>
      <c r="J11" s="9" t="s">
        <v>42</v>
      </c>
      <c r="K11" s="9">
        <v>1231.3140000000001</v>
      </c>
      <c r="L11" s="9" t="s">
        <v>46</v>
      </c>
      <c r="M11" s="9" t="s">
        <v>48</v>
      </c>
      <c r="N11" s="9">
        <v>1</v>
      </c>
      <c r="O11" s="9" t="s">
        <v>59</v>
      </c>
      <c r="P11" s="9" t="s">
        <v>156</v>
      </c>
      <c r="Q11" s="21">
        <v>42.11</v>
      </c>
      <c r="R11" s="13">
        <v>45581</v>
      </c>
      <c r="S11" s="8">
        <v>45583</v>
      </c>
      <c r="T11" s="27">
        <v>0.95138888888888895</v>
      </c>
      <c r="U11" s="12"/>
      <c r="AG11" s="50"/>
      <c r="AH11" s="50"/>
      <c r="AI11" s="50"/>
    </row>
    <row r="12" spans="1:35">
      <c r="A12" s="7">
        <v>10</v>
      </c>
      <c r="B12" s="8">
        <v>45721</v>
      </c>
      <c r="C12" s="9" t="s">
        <v>23</v>
      </c>
      <c r="D12" s="9" t="s">
        <v>26</v>
      </c>
      <c r="E12" s="9">
        <v>5</v>
      </c>
      <c r="F12" s="9">
        <v>323.27999999999997</v>
      </c>
      <c r="G12" s="9" t="s">
        <v>34</v>
      </c>
      <c r="H12" s="9" t="s">
        <v>36</v>
      </c>
      <c r="I12" s="23">
        <v>0.1</v>
      </c>
      <c r="J12" s="9" t="s">
        <v>39</v>
      </c>
      <c r="K12" s="9">
        <v>1454.76</v>
      </c>
      <c r="L12" s="9" t="s">
        <v>44</v>
      </c>
      <c r="M12" s="9" t="s">
        <v>49</v>
      </c>
      <c r="N12" s="9">
        <v>0</v>
      </c>
      <c r="O12" s="9" t="s">
        <v>60</v>
      </c>
      <c r="P12" s="22" t="s">
        <v>157</v>
      </c>
      <c r="Q12" s="21">
        <v>41.1</v>
      </c>
      <c r="R12" s="13">
        <v>45721</v>
      </c>
      <c r="S12" s="8">
        <v>45729</v>
      </c>
      <c r="T12" s="27">
        <v>0.99305555555555602</v>
      </c>
      <c r="U12" s="12"/>
    </row>
    <row r="13" spans="1:35">
      <c r="A13" s="7">
        <v>11</v>
      </c>
      <c r="B13" s="8">
        <v>45392</v>
      </c>
      <c r="C13" s="9" t="s">
        <v>21</v>
      </c>
      <c r="D13" s="9" t="s">
        <v>26</v>
      </c>
      <c r="E13" s="9">
        <v>15</v>
      </c>
      <c r="F13" s="9">
        <v>523.29</v>
      </c>
      <c r="G13" s="9" t="s">
        <v>31</v>
      </c>
      <c r="H13" s="9" t="s">
        <v>35</v>
      </c>
      <c r="I13" s="23">
        <v>0.15</v>
      </c>
      <c r="J13" s="9" t="s">
        <v>37</v>
      </c>
      <c r="K13" s="9">
        <v>6671.9474999999993</v>
      </c>
      <c r="L13" s="9" t="s">
        <v>46</v>
      </c>
      <c r="M13" s="9"/>
      <c r="N13" s="9">
        <v>0</v>
      </c>
      <c r="O13" s="9" t="s">
        <v>61</v>
      </c>
      <c r="P13" s="9" t="s">
        <v>158</v>
      </c>
      <c r="Q13" s="21">
        <v>12.14</v>
      </c>
      <c r="R13" s="13">
        <v>45392</v>
      </c>
      <c r="S13" s="8">
        <v>45399</v>
      </c>
      <c r="T13" s="13">
        <v>1.0347222222222201</v>
      </c>
      <c r="U13" s="12"/>
    </row>
    <row r="14" spans="1:35">
      <c r="A14" s="7">
        <v>12</v>
      </c>
      <c r="B14" s="8">
        <v>45485</v>
      </c>
      <c r="C14" s="9" t="s">
        <v>19</v>
      </c>
      <c r="D14" s="9" t="s">
        <v>25</v>
      </c>
      <c r="E14" s="9">
        <v>19</v>
      </c>
      <c r="F14" s="9">
        <v>207.35</v>
      </c>
      <c r="G14" s="9" t="s">
        <v>34</v>
      </c>
      <c r="H14" s="9" t="s">
        <v>36</v>
      </c>
      <c r="I14" s="23">
        <v>0.1</v>
      </c>
      <c r="J14" s="9" t="s">
        <v>37</v>
      </c>
      <c r="K14" s="9">
        <v>3545.6849999999999</v>
      </c>
      <c r="L14" s="9" t="s">
        <v>44</v>
      </c>
      <c r="M14" s="9"/>
      <c r="N14" s="9">
        <v>1</v>
      </c>
      <c r="O14" s="9" t="s">
        <v>62</v>
      </c>
      <c r="P14" s="9" t="s">
        <v>159</v>
      </c>
      <c r="Q14" s="21">
        <v>44.89</v>
      </c>
      <c r="R14" s="13">
        <v>45485</v>
      </c>
      <c r="S14" s="8">
        <v>45491</v>
      </c>
      <c r="T14" s="13">
        <v>1.0763888888888899</v>
      </c>
      <c r="U14" s="12"/>
    </row>
    <row r="15" spans="1:35">
      <c r="A15" s="7">
        <v>13</v>
      </c>
      <c r="B15" s="8">
        <v>45128</v>
      </c>
      <c r="C15" s="9" t="s">
        <v>22</v>
      </c>
      <c r="D15" s="9" t="s">
        <v>25</v>
      </c>
      <c r="E15" s="9">
        <v>1</v>
      </c>
      <c r="F15" s="9">
        <v>120.53</v>
      </c>
      <c r="G15" s="9" t="s">
        <v>31</v>
      </c>
      <c r="H15" s="9" t="s">
        <v>36</v>
      </c>
      <c r="I15" s="23">
        <v>0.05</v>
      </c>
      <c r="J15" s="9" t="s">
        <v>41</v>
      </c>
      <c r="K15" s="9">
        <v>114.5035</v>
      </c>
      <c r="L15" s="9" t="s">
        <v>47</v>
      </c>
      <c r="M15" s="9" t="s">
        <v>50</v>
      </c>
      <c r="N15" s="9">
        <v>0</v>
      </c>
      <c r="O15" s="9" t="s">
        <v>63</v>
      </c>
      <c r="P15" s="9" t="s">
        <v>160</v>
      </c>
      <c r="Q15" s="21">
        <v>20.350000000000001</v>
      </c>
      <c r="R15" s="13">
        <v>45128</v>
      </c>
      <c r="S15" s="8">
        <v>45138</v>
      </c>
      <c r="T15" s="9" t="s">
        <v>248</v>
      </c>
      <c r="U15" s="12"/>
    </row>
    <row r="16" spans="1:35">
      <c r="A16" s="7">
        <v>14</v>
      </c>
      <c r="B16" s="8">
        <v>45675</v>
      </c>
      <c r="C16" s="9" t="s">
        <v>23</v>
      </c>
      <c r="D16" s="9" t="s">
        <v>29</v>
      </c>
      <c r="E16" s="9">
        <v>1</v>
      </c>
      <c r="F16" s="9">
        <v>157.83000000000001</v>
      </c>
      <c r="G16" s="9" t="s">
        <v>32</v>
      </c>
      <c r="H16" s="9" t="s">
        <v>35</v>
      </c>
      <c r="I16" s="23">
        <v>0.15</v>
      </c>
      <c r="J16" s="9" t="s">
        <v>40</v>
      </c>
      <c r="K16" s="9">
        <v>134.15549999999999</v>
      </c>
      <c r="L16" s="9" t="s">
        <v>46</v>
      </c>
      <c r="M16" s="9"/>
      <c r="N16" s="9">
        <v>0</v>
      </c>
      <c r="O16" s="9" t="s">
        <v>64</v>
      </c>
      <c r="P16" s="9" t="s">
        <v>161</v>
      </c>
      <c r="Q16" s="21">
        <v>42.82</v>
      </c>
      <c r="R16" s="13">
        <v>45675</v>
      </c>
      <c r="S16" s="8">
        <v>45679</v>
      </c>
      <c r="T16" s="9" t="s">
        <v>249</v>
      </c>
      <c r="U16" s="12"/>
    </row>
    <row r="17" spans="1:21">
      <c r="A17" s="7">
        <v>15</v>
      </c>
      <c r="B17" s="8">
        <v>45634</v>
      </c>
      <c r="C17" s="9" t="s">
        <v>21</v>
      </c>
      <c r="D17" s="9" t="s">
        <v>26</v>
      </c>
      <c r="E17" s="9">
        <v>15</v>
      </c>
      <c r="F17" s="9">
        <v>220.3</v>
      </c>
      <c r="G17" s="9" t="s">
        <v>31</v>
      </c>
      <c r="H17" s="9" t="s">
        <v>36</v>
      </c>
      <c r="I17" s="23">
        <v>0.15</v>
      </c>
      <c r="J17" s="9" t="s">
        <v>41</v>
      </c>
      <c r="K17" s="9">
        <v>2808.8249999999998</v>
      </c>
      <c r="L17" s="9" t="s">
        <v>46</v>
      </c>
      <c r="M17" s="9"/>
      <c r="N17" s="9">
        <v>0</v>
      </c>
      <c r="O17" s="9" t="s">
        <v>65</v>
      </c>
      <c r="P17" s="9" t="s">
        <v>162</v>
      </c>
      <c r="Q17" s="21">
        <v>39.659999999999997</v>
      </c>
      <c r="R17" s="13">
        <v>45634</v>
      </c>
      <c r="S17" s="8">
        <v>45641</v>
      </c>
      <c r="T17" s="9" t="s">
        <v>247</v>
      </c>
      <c r="U17" s="12"/>
    </row>
    <row r="18" spans="1:21">
      <c r="A18" s="7">
        <v>16</v>
      </c>
      <c r="B18" s="8">
        <v>45788</v>
      </c>
      <c r="C18" s="9" t="s">
        <v>23</v>
      </c>
      <c r="D18" s="9" t="s">
        <v>27</v>
      </c>
      <c r="E18" s="9">
        <v>17</v>
      </c>
      <c r="F18" s="9">
        <v>162.96</v>
      </c>
      <c r="G18" s="9" t="s">
        <v>32</v>
      </c>
      <c r="H18" s="9" t="s">
        <v>35</v>
      </c>
      <c r="I18" s="23">
        <v>0.05</v>
      </c>
      <c r="J18" s="9" t="s">
        <v>37</v>
      </c>
      <c r="K18" s="9">
        <v>2631.8040000000001</v>
      </c>
      <c r="L18" s="9" t="s">
        <v>44</v>
      </c>
      <c r="M18" s="9" t="s">
        <v>48</v>
      </c>
      <c r="N18" s="9">
        <v>0</v>
      </c>
      <c r="O18" s="9" t="s">
        <v>66</v>
      </c>
      <c r="P18" s="9" t="s">
        <v>163</v>
      </c>
      <c r="Q18" s="21">
        <v>8.11</v>
      </c>
      <c r="R18" s="13">
        <v>45788</v>
      </c>
      <c r="S18" s="8">
        <v>45794</v>
      </c>
      <c r="T18" s="9" t="s">
        <v>249</v>
      </c>
      <c r="U18" s="12"/>
    </row>
    <row r="19" spans="1:21">
      <c r="A19" s="7">
        <v>17</v>
      </c>
      <c r="B19" s="8">
        <v>44983</v>
      </c>
      <c r="C19" s="9" t="s">
        <v>23</v>
      </c>
      <c r="D19" s="9" t="s">
        <v>24</v>
      </c>
      <c r="E19" s="9">
        <v>19</v>
      </c>
      <c r="F19" s="9">
        <v>236.11</v>
      </c>
      <c r="G19" s="9" t="s">
        <v>34</v>
      </c>
      <c r="H19" s="9" t="s">
        <v>35</v>
      </c>
      <c r="I19" s="23">
        <v>0</v>
      </c>
      <c r="J19" s="9" t="s">
        <v>42</v>
      </c>
      <c r="K19" s="9">
        <v>4486.09</v>
      </c>
      <c r="L19" s="9" t="s">
        <v>43</v>
      </c>
      <c r="M19" s="9" t="s">
        <v>50</v>
      </c>
      <c r="N19" s="9">
        <v>0</v>
      </c>
      <c r="O19" s="9" t="s">
        <v>67</v>
      </c>
      <c r="P19" s="9" t="s">
        <v>164</v>
      </c>
      <c r="Q19" s="21">
        <v>34.11</v>
      </c>
      <c r="R19" s="13">
        <v>44983</v>
      </c>
      <c r="S19" s="8">
        <v>44989</v>
      </c>
      <c r="T19" s="9" t="s">
        <v>249</v>
      </c>
      <c r="U19" s="12"/>
    </row>
    <row r="20" spans="1:21">
      <c r="A20" s="7">
        <v>18</v>
      </c>
      <c r="B20" s="8">
        <v>45440</v>
      </c>
      <c r="C20" s="9" t="s">
        <v>22</v>
      </c>
      <c r="D20" s="9" t="s">
        <v>26</v>
      </c>
      <c r="E20" s="9">
        <v>11</v>
      </c>
      <c r="F20" s="9">
        <v>573.14</v>
      </c>
      <c r="G20" s="9" t="s">
        <v>34</v>
      </c>
      <c r="H20" s="9" t="s">
        <v>36</v>
      </c>
      <c r="I20" s="23">
        <v>0.05</v>
      </c>
      <c r="J20" s="9" t="s">
        <v>41</v>
      </c>
      <c r="K20" s="9">
        <v>5989.3130000000001</v>
      </c>
      <c r="L20" s="9" t="s">
        <v>47</v>
      </c>
      <c r="M20" s="9" t="s">
        <v>49</v>
      </c>
      <c r="N20" s="9">
        <v>0</v>
      </c>
      <c r="O20" s="9" t="s">
        <v>68</v>
      </c>
      <c r="P20" s="9" t="s">
        <v>165</v>
      </c>
      <c r="Q20" s="21">
        <v>34.71</v>
      </c>
      <c r="R20" s="13">
        <v>45440</v>
      </c>
      <c r="S20" s="8">
        <v>45444</v>
      </c>
      <c r="T20" s="9" t="s">
        <v>248</v>
      </c>
      <c r="U20" s="12"/>
    </row>
    <row r="21" spans="1:21">
      <c r="A21" s="7">
        <v>19</v>
      </c>
      <c r="B21" s="8">
        <v>45260</v>
      </c>
      <c r="C21" s="9" t="s">
        <v>19</v>
      </c>
      <c r="D21" s="9" t="s">
        <v>25</v>
      </c>
      <c r="E21" s="9">
        <v>20</v>
      </c>
      <c r="F21" s="9">
        <v>519.04</v>
      </c>
      <c r="G21" s="9" t="s">
        <v>31</v>
      </c>
      <c r="H21" s="9" t="s">
        <v>36</v>
      </c>
      <c r="I21" s="23">
        <v>0.15</v>
      </c>
      <c r="J21" s="9" t="s">
        <v>40</v>
      </c>
      <c r="K21" s="9">
        <v>8823.6799999999985</v>
      </c>
      <c r="L21" s="9" t="s">
        <v>44</v>
      </c>
      <c r="M21" s="9" t="s">
        <v>48</v>
      </c>
      <c r="N21" s="9">
        <v>0</v>
      </c>
      <c r="O21" s="9" t="s">
        <v>69</v>
      </c>
      <c r="P21" s="9" t="s">
        <v>166</v>
      </c>
      <c r="Q21" s="21">
        <v>19.43</v>
      </c>
      <c r="R21" s="13">
        <v>45260</v>
      </c>
      <c r="S21" s="8">
        <v>45268</v>
      </c>
      <c r="T21" s="9" t="s">
        <v>245</v>
      </c>
      <c r="U21" s="12"/>
    </row>
    <row r="22" spans="1:21">
      <c r="A22" s="7">
        <v>20</v>
      </c>
      <c r="B22" s="8">
        <v>45099</v>
      </c>
      <c r="C22" s="9" t="s">
        <v>23</v>
      </c>
      <c r="D22" s="9" t="s">
        <v>26</v>
      </c>
      <c r="E22" s="9">
        <v>14</v>
      </c>
      <c r="F22" s="9">
        <v>30.83</v>
      </c>
      <c r="G22" s="9" t="s">
        <v>31</v>
      </c>
      <c r="H22" s="9" t="s">
        <v>36</v>
      </c>
      <c r="I22" s="23">
        <v>0</v>
      </c>
      <c r="J22" s="9" t="s">
        <v>40</v>
      </c>
      <c r="K22" s="14">
        <v>431.62</v>
      </c>
      <c r="L22" s="9" t="s">
        <v>43</v>
      </c>
      <c r="M22" s="9" t="s">
        <v>50</v>
      </c>
      <c r="N22" s="9">
        <v>1</v>
      </c>
      <c r="O22" s="9" t="s">
        <v>70</v>
      </c>
      <c r="P22" s="9" t="s">
        <v>167</v>
      </c>
      <c r="Q22" s="21">
        <v>7.1</v>
      </c>
      <c r="R22" s="13">
        <v>45099</v>
      </c>
      <c r="S22" s="8">
        <v>45109</v>
      </c>
      <c r="T22" s="9" t="s">
        <v>249</v>
      </c>
      <c r="U22" s="12"/>
    </row>
    <row r="23" spans="1:21">
      <c r="A23" s="7">
        <v>21</v>
      </c>
      <c r="B23" s="8">
        <v>45813</v>
      </c>
      <c r="C23" s="9" t="s">
        <v>23</v>
      </c>
      <c r="D23" s="9" t="s">
        <v>25</v>
      </c>
      <c r="E23" s="9">
        <v>10</v>
      </c>
      <c r="F23" s="9">
        <v>319.05</v>
      </c>
      <c r="G23" s="9" t="s">
        <v>34</v>
      </c>
      <c r="H23" s="9" t="s">
        <v>35</v>
      </c>
      <c r="I23" s="23">
        <v>0</v>
      </c>
      <c r="J23" s="9" t="s">
        <v>41</v>
      </c>
      <c r="K23" s="9">
        <v>3190.5</v>
      </c>
      <c r="L23" s="9" t="s">
        <v>43</v>
      </c>
      <c r="M23" s="9"/>
      <c r="N23" s="9">
        <v>0</v>
      </c>
      <c r="O23" s="9" t="s">
        <v>71</v>
      </c>
      <c r="P23" s="9" t="s">
        <v>168</v>
      </c>
      <c r="Q23" s="21">
        <v>28.43</v>
      </c>
      <c r="R23" s="13">
        <v>45813</v>
      </c>
      <c r="S23" s="8">
        <v>45816</v>
      </c>
      <c r="T23" s="9" t="s">
        <v>249</v>
      </c>
      <c r="U23" s="12"/>
    </row>
    <row r="24" spans="1:21">
      <c r="A24" s="7">
        <v>22</v>
      </c>
      <c r="B24" s="8">
        <v>44988</v>
      </c>
      <c r="C24" s="9" t="s">
        <v>22</v>
      </c>
      <c r="D24" s="9" t="s">
        <v>27</v>
      </c>
      <c r="E24" s="9">
        <v>14</v>
      </c>
      <c r="F24" s="9">
        <v>312.79000000000002</v>
      </c>
      <c r="G24" s="9" t="s">
        <v>32</v>
      </c>
      <c r="H24" s="9" t="s">
        <v>36</v>
      </c>
      <c r="I24" s="23">
        <v>0.05</v>
      </c>
      <c r="J24" s="9" t="s">
        <v>42</v>
      </c>
      <c r="K24" s="9">
        <v>4160.107</v>
      </c>
      <c r="L24" s="9" t="s">
        <v>43</v>
      </c>
      <c r="M24" s="9"/>
      <c r="N24" s="9">
        <v>1</v>
      </c>
      <c r="O24" s="9" t="s">
        <v>72</v>
      </c>
      <c r="P24" s="9" t="s">
        <v>169</v>
      </c>
      <c r="Q24" s="21">
        <v>46.83</v>
      </c>
      <c r="R24" s="13">
        <v>44988</v>
      </c>
      <c r="S24" s="8">
        <v>44993</v>
      </c>
      <c r="T24" s="9" t="s">
        <v>248</v>
      </c>
      <c r="U24" s="12"/>
    </row>
    <row r="25" spans="1:21">
      <c r="A25" s="7">
        <v>23</v>
      </c>
      <c r="B25" s="8">
        <v>45340</v>
      </c>
      <c r="C25" s="9" t="s">
        <v>21</v>
      </c>
      <c r="D25" s="9" t="s">
        <v>24</v>
      </c>
      <c r="E25" s="9">
        <v>14</v>
      </c>
      <c r="F25" s="9">
        <v>395.45</v>
      </c>
      <c r="G25" s="9" t="s">
        <v>33</v>
      </c>
      <c r="H25" s="9" t="s">
        <v>36</v>
      </c>
      <c r="I25" s="23">
        <v>0</v>
      </c>
      <c r="J25" s="9" t="s">
        <v>40</v>
      </c>
      <c r="K25" s="9">
        <v>5536.3</v>
      </c>
      <c r="L25" s="9" t="s">
        <v>47</v>
      </c>
      <c r="M25" s="9" t="s">
        <v>48</v>
      </c>
      <c r="N25" s="9">
        <v>1</v>
      </c>
      <c r="O25" s="9" t="s">
        <v>73</v>
      </c>
      <c r="P25" s="9" t="s">
        <v>170</v>
      </c>
      <c r="Q25" s="21">
        <v>36.450000000000003</v>
      </c>
      <c r="R25" s="13">
        <v>45340</v>
      </c>
      <c r="S25" s="8">
        <v>45344</v>
      </c>
      <c r="T25" s="9" t="s">
        <v>247</v>
      </c>
      <c r="U25" s="12"/>
    </row>
    <row r="26" spans="1:21">
      <c r="A26" s="7">
        <v>24</v>
      </c>
      <c r="B26" s="8">
        <v>45144</v>
      </c>
      <c r="C26" s="9" t="s">
        <v>22</v>
      </c>
      <c r="D26" s="9" t="s">
        <v>24</v>
      </c>
      <c r="E26" s="9">
        <v>12</v>
      </c>
      <c r="F26" s="9">
        <v>472.72</v>
      </c>
      <c r="G26" s="9" t="s">
        <v>34</v>
      </c>
      <c r="H26" s="9" t="s">
        <v>36</v>
      </c>
      <c r="I26" s="23">
        <v>0.15</v>
      </c>
      <c r="J26" s="9" t="s">
        <v>41</v>
      </c>
      <c r="K26" s="9">
        <v>4821.7440000000006</v>
      </c>
      <c r="L26" s="9" t="s">
        <v>45</v>
      </c>
      <c r="M26" s="9"/>
      <c r="N26" s="9">
        <v>0</v>
      </c>
      <c r="O26" s="9" t="s">
        <v>74</v>
      </c>
      <c r="P26" s="9" t="s">
        <v>171</v>
      </c>
      <c r="Q26" s="21">
        <v>27.97</v>
      </c>
      <c r="R26" s="13">
        <v>45144</v>
      </c>
      <c r="S26" s="8">
        <v>45152</v>
      </c>
      <c r="T26" s="9" t="s">
        <v>248</v>
      </c>
      <c r="U26" s="12"/>
    </row>
    <row r="27" spans="1:21">
      <c r="A27" s="7">
        <v>25</v>
      </c>
      <c r="B27" s="8">
        <v>45435</v>
      </c>
      <c r="C27" s="9" t="s">
        <v>21</v>
      </c>
      <c r="D27" s="9" t="s">
        <v>26</v>
      </c>
      <c r="E27" s="9">
        <v>5</v>
      </c>
      <c r="F27" s="9">
        <v>288.01</v>
      </c>
      <c r="G27" s="9" t="s">
        <v>32</v>
      </c>
      <c r="H27" s="14" t="s">
        <v>35</v>
      </c>
      <c r="I27" s="23">
        <v>0</v>
      </c>
      <c r="J27" s="9" t="s">
        <v>37</v>
      </c>
      <c r="K27" s="9">
        <v>1440.05</v>
      </c>
      <c r="L27" s="9" t="s">
        <v>45</v>
      </c>
      <c r="M27" s="9" t="s">
        <v>48</v>
      </c>
      <c r="N27" s="9">
        <v>0</v>
      </c>
      <c r="O27" s="9" t="s">
        <v>75</v>
      </c>
      <c r="P27" s="9" t="s">
        <v>172</v>
      </c>
      <c r="Q27" s="21">
        <v>46.69</v>
      </c>
      <c r="R27" s="13">
        <v>45435</v>
      </c>
      <c r="S27" s="8">
        <v>45442</v>
      </c>
      <c r="T27" s="9" t="s">
        <v>247</v>
      </c>
      <c r="U27" s="12"/>
    </row>
    <row r="28" spans="1:21">
      <c r="A28" s="7">
        <v>26</v>
      </c>
      <c r="B28" s="8">
        <v>45222</v>
      </c>
      <c r="C28" s="9" t="s">
        <v>19</v>
      </c>
      <c r="D28" s="9" t="s">
        <v>25</v>
      </c>
      <c r="E28" s="9">
        <v>13</v>
      </c>
      <c r="F28" s="9">
        <v>562.29</v>
      </c>
      <c r="G28" s="9" t="s">
        <v>34</v>
      </c>
      <c r="H28" s="9" t="s">
        <v>36</v>
      </c>
      <c r="I28" s="23">
        <v>0</v>
      </c>
      <c r="J28" s="9" t="s">
        <v>41</v>
      </c>
      <c r="K28" s="9">
        <v>7309.77</v>
      </c>
      <c r="L28" s="9" t="s">
        <v>44</v>
      </c>
      <c r="M28" s="9" t="s">
        <v>49</v>
      </c>
      <c r="N28" s="9">
        <v>0</v>
      </c>
      <c r="O28" s="9" t="s">
        <v>76</v>
      </c>
      <c r="P28" s="9" t="s">
        <v>173</v>
      </c>
      <c r="Q28" s="21">
        <v>38.130000000000003</v>
      </c>
      <c r="R28" s="13">
        <v>45222</v>
      </c>
      <c r="S28" s="8">
        <v>45227</v>
      </c>
      <c r="T28" s="9" t="s">
        <v>245</v>
      </c>
      <c r="U28" s="12"/>
    </row>
    <row r="29" spans="1:21">
      <c r="A29" s="7">
        <v>27</v>
      </c>
      <c r="B29" s="8">
        <v>45824</v>
      </c>
      <c r="C29" s="9" t="s">
        <v>23</v>
      </c>
      <c r="D29" s="14" t="s">
        <v>25</v>
      </c>
      <c r="E29" s="9">
        <v>1</v>
      </c>
      <c r="F29" s="9">
        <v>101.73</v>
      </c>
      <c r="G29" s="9" t="s">
        <v>34</v>
      </c>
      <c r="H29" s="9" t="s">
        <v>36</v>
      </c>
      <c r="I29" s="23">
        <v>0</v>
      </c>
      <c r="J29" s="9" t="s">
        <v>39</v>
      </c>
      <c r="K29" s="14">
        <v>101.73</v>
      </c>
      <c r="L29" s="9" t="s">
        <v>46</v>
      </c>
      <c r="M29" s="9" t="s">
        <v>50</v>
      </c>
      <c r="N29" s="9">
        <v>0</v>
      </c>
      <c r="O29" s="9" t="s">
        <v>77</v>
      </c>
      <c r="P29" s="9" t="s">
        <v>174</v>
      </c>
      <c r="Q29" s="21">
        <v>11.59</v>
      </c>
      <c r="R29" s="10">
        <v>45824</v>
      </c>
      <c r="S29" s="8">
        <v>45833</v>
      </c>
      <c r="T29" s="9" t="s">
        <v>249</v>
      </c>
      <c r="U29" s="12"/>
    </row>
    <row r="30" spans="1:21">
      <c r="A30" s="7">
        <v>28</v>
      </c>
      <c r="B30" s="8">
        <v>44988</v>
      </c>
      <c r="C30" s="9" t="s">
        <v>21</v>
      </c>
      <c r="D30" s="9" t="s">
        <v>25</v>
      </c>
      <c r="E30" s="9">
        <v>4</v>
      </c>
      <c r="F30" s="9">
        <v>279.49</v>
      </c>
      <c r="G30" s="9" t="s">
        <v>31</v>
      </c>
      <c r="H30" s="9" t="s">
        <v>36</v>
      </c>
      <c r="I30" s="24">
        <v>0</v>
      </c>
      <c r="J30" s="14" t="s">
        <v>41</v>
      </c>
      <c r="K30" s="9">
        <v>1117.96</v>
      </c>
      <c r="L30" s="9" t="s">
        <v>45</v>
      </c>
      <c r="M30" s="9" t="s">
        <v>48</v>
      </c>
      <c r="N30" s="9">
        <v>0</v>
      </c>
      <c r="O30" s="9" t="s">
        <v>78</v>
      </c>
      <c r="P30" s="9" t="s">
        <v>175</v>
      </c>
      <c r="Q30" s="21">
        <v>24.78</v>
      </c>
      <c r="R30" s="10">
        <v>44988</v>
      </c>
      <c r="S30" s="8">
        <v>44993</v>
      </c>
      <c r="T30" s="9" t="s">
        <v>247</v>
      </c>
      <c r="U30" s="12"/>
    </row>
    <row r="31" spans="1:21">
      <c r="A31" s="7">
        <v>29</v>
      </c>
      <c r="B31" s="8">
        <v>45614</v>
      </c>
      <c r="C31" s="9" t="s">
        <v>20</v>
      </c>
      <c r="D31" s="9" t="s">
        <v>24</v>
      </c>
      <c r="E31" s="9">
        <v>1</v>
      </c>
      <c r="F31" s="9">
        <v>178.55</v>
      </c>
      <c r="G31" s="9" t="s">
        <v>32</v>
      </c>
      <c r="H31" s="9" t="s">
        <v>36</v>
      </c>
      <c r="I31" s="23">
        <v>0.15</v>
      </c>
      <c r="J31" s="9" t="s">
        <v>40</v>
      </c>
      <c r="K31" s="9">
        <v>151.76750000000001</v>
      </c>
      <c r="L31" s="9" t="s">
        <v>46</v>
      </c>
      <c r="M31" s="9" t="s">
        <v>49</v>
      </c>
      <c r="N31" s="9">
        <v>1</v>
      </c>
      <c r="O31" s="9" t="s">
        <v>79</v>
      </c>
      <c r="P31" s="9" t="s">
        <v>176</v>
      </c>
      <c r="Q31" s="21">
        <v>7.61</v>
      </c>
      <c r="R31" s="10">
        <v>45614</v>
      </c>
      <c r="S31" s="8">
        <v>45617</v>
      </c>
      <c r="T31" s="9" t="s">
        <v>246</v>
      </c>
      <c r="U31" s="12"/>
    </row>
    <row r="32" spans="1:21">
      <c r="A32" s="7">
        <v>30</v>
      </c>
      <c r="B32" s="8">
        <v>45055</v>
      </c>
      <c r="C32" s="9" t="s">
        <v>22</v>
      </c>
      <c r="D32" s="14" t="s">
        <v>29</v>
      </c>
      <c r="E32" s="9">
        <v>1</v>
      </c>
      <c r="F32" s="9">
        <v>472.07</v>
      </c>
      <c r="G32" s="9" t="s">
        <v>32</v>
      </c>
      <c r="H32" s="9" t="s">
        <v>35</v>
      </c>
      <c r="I32" s="23">
        <v>0.1</v>
      </c>
      <c r="J32" s="9" t="s">
        <v>40</v>
      </c>
      <c r="K32" s="9">
        <v>424.863</v>
      </c>
      <c r="L32" s="9" t="s">
        <v>43</v>
      </c>
      <c r="M32" s="9" t="s">
        <v>48</v>
      </c>
      <c r="N32" s="9">
        <v>0</v>
      </c>
      <c r="O32" s="9" t="s">
        <v>80</v>
      </c>
      <c r="P32" s="9" t="s">
        <v>177</v>
      </c>
      <c r="Q32" s="21">
        <v>33.17</v>
      </c>
      <c r="R32" s="10">
        <v>45055</v>
      </c>
      <c r="S32" s="8">
        <v>45063</v>
      </c>
      <c r="T32" s="9" t="s">
        <v>248</v>
      </c>
      <c r="U32" s="12"/>
    </row>
    <row r="33" spans="1:41">
      <c r="A33" s="7">
        <v>31</v>
      </c>
      <c r="B33" s="8">
        <v>45633</v>
      </c>
      <c r="C33" s="9" t="s">
        <v>21</v>
      </c>
      <c r="D33" s="9" t="s">
        <v>29</v>
      </c>
      <c r="E33" s="9">
        <v>12</v>
      </c>
      <c r="F33" s="9">
        <v>306.29000000000002</v>
      </c>
      <c r="G33" s="9" t="s">
        <v>34</v>
      </c>
      <c r="H33" s="9" t="s">
        <v>36</v>
      </c>
      <c r="I33" s="23">
        <v>0</v>
      </c>
      <c r="J33" s="9" t="s">
        <v>39</v>
      </c>
      <c r="K33" s="9">
        <v>3675.48</v>
      </c>
      <c r="L33" s="9" t="s">
        <v>46</v>
      </c>
      <c r="M33" s="9" t="s">
        <v>49</v>
      </c>
      <c r="N33" s="9">
        <v>0</v>
      </c>
      <c r="O33" s="9" t="s">
        <v>81</v>
      </c>
      <c r="P33" s="9" t="s">
        <v>178</v>
      </c>
      <c r="Q33" s="21">
        <v>37.380000000000003</v>
      </c>
      <c r="R33" s="10">
        <v>45633</v>
      </c>
      <c r="S33" s="8">
        <v>45640</v>
      </c>
      <c r="T33" s="9" t="s">
        <v>247</v>
      </c>
      <c r="U33" s="12"/>
    </row>
    <row r="34" spans="1:41">
      <c r="A34" s="7">
        <v>32</v>
      </c>
      <c r="B34" s="8">
        <v>45335</v>
      </c>
      <c r="C34" s="9" t="s">
        <v>21</v>
      </c>
      <c r="D34" s="9" t="s">
        <v>25</v>
      </c>
      <c r="E34" s="9">
        <v>7</v>
      </c>
      <c r="F34" s="9">
        <v>434.77</v>
      </c>
      <c r="G34" s="9" t="s">
        <v>33</v>
      </c>
      <c r="H34" s="9" t="s">
        <v>36</v>
      </c>
      <c r="I34" s="23">
        <v>0.15</v>
      </c>
      <c r="J34" s="9" t="s">
        <v>39</v>
      </c>
      <c r="K34" s="9">
        <v>2586.8815</v>
      </c>
      <c r="L34" s="9" t="s">
        <v>43</v>
      </c>
      <c r="M34" s="9" t="s">
        <v>49</v>
      </c>
      <c r="N34" s="9">
        <v>0</v>
      </c>
      <c r="O34" s="9" t="s">
        <v>82</v>
      </c>
      <c r="P34" s="9" t="s">
        <v>179</v>
      </c>
      <c r="Q34" s="21">
        <v>12.35</v>
      </c>
      <c r="R34" s="10">
        <v>45335</v>
      </c>
      <c r="S34" s="8">
        <v>45337</v>
      </c>
      <c r="T34" s="9" t="s">
        <v>247</v>
      </c>
      <c r="U34" s="12"/>
      <c r="X34" s="29"/>
    </row>
    <row r="35" spans="1:41">
      <c r="A35" s="7">
        <v>33</v>
      </c>
      <c r="B35" s="8">
        <v>45725</v>
      </c>
      <c r="C35" s="9" t="s">
        <v>20</v>
      </c>
      <c r="D35" s="14" t="s">
        <v>26</v>
      </c>
      <c r="E35" s="9">
        <v>6</v>
      </c>
      <c r="F35" s="9">
        <v>64.98</v>
      </c>
      <c r="G35" s="9" t="s">
        <v>33</v>
      </c>
      <c r="H35" s="9" t="s">
        <v>36</v>
      </c>
      <c r="I35" s="23">
        <v>0</v>
      </c>
      <c r="J35" s="9" t="s">
        <v>40</v>
      </c>
      <c r="K35" s="9">
        <v>389.88</v>
      </c>
      <c r="L35" s="9" t="s">
        <v>46</v>
      </c>
      <c r="M35" s="9" t="s">
        <v>50</v>
      </c>
      <c r="N35" s="9">
        <v>0</v>
      </c>
      <c r="O35" s="9" t="s">
        <v>83</v>
      </c>
      <c r="P35" s="9" t="s">
        <v>180</v>
      </c>
      <c r="Q35" s="21">
        <v>21.25</v>
      </c>
      <c r="R35" s="10">
        <v>45725</v>
      </c>
      <c r="S35" s="8">
        <v>45731</v>
      </c>
      <c r="T35" s="9" t="s">
        <v>246</v>
      </c>
      <c r="U35" s="12"/>
      <c r="X35" s="29"/>
    </row>
    <row r="36" spans="1:41">
      <c r="A36" s="7">
        <v>34</v>
      </c>
      <c r="B36" s="8">
        <v>45021</v>
      </c>
      <c r="C36" s="9" t="s">
        <v>22</v>
      </c>
      <c r="D36" s="9" t="s">
        <v>26</v>
      </c>
      <c r="E36" s="9">
        <v>17</v>
      </c>
      <c r="F36" s="9">
        <v>476.49</v>
      </c>
      <c r="G36" s="9" t="s">
        <v>34</v>
      </c>
      <c r="H36" s="9" t="s">
        <v>36</v>
      </c>
      <c r="I36" s="23">
        <v>0</v>
      </c>
      <c r="J36" s="9" t="s">
        <v>38</v>
      </c>
      <c r="K36" s="9">
        <v>8100.33</v>
      </c>
      <c r="L36" s="9" t="s">
        <v>44</v>
      </c>
      <c r="M36" s="9"/>
      <c r="N36" s="9">
        <v>0</v>
      </c>
      <c r="O36" s="9" t="s">
        <v>84</v>
      </c>
      <c r="P36" s="9" t="s">
        <v>181</v>
      </c>
      <c r="Q36" s="21">
        <v>17.91</v>
      </c>
      <c r="R36" s="10">
        <v>45021</v>
      </c>
      <c r="S36" s="8">
        <v>45027</v>
      </c>
      <c r="T36" s="9" t="s">
        <v>248</v>
      </c>
      <c r="U36" s="12"/>
      <c r="X36" s="29"/>
    </row>
    <row r="37" spans="1:41">
      <c r="A37" s="7">
        <v>35</v>
      </c>
      <c r="B37" s="8">
        <v>45785</v>
      </c>
      <c r="C37" s="9" t="s">
        <v>21</v>
      </c>
      <c r="D37" s="9" t="s">
        <v>28</v>
      </c>
      <c r="E37" s="14">
        <v>4</v>
      </c>
      <c r="F37" s="9">
        <v>559.72</v>
      </c>
      <c r="G37" s="9" t="s">
        <v>34</v>
      </c>
      <c r="H37" s="9" t="s">
        <v>36</v>
      </c>
      <c r="I37" s="23">
        <v>0.15</v>
      </c>
      <c r="J37" s="9" t="s">
        <v>41</v>
      </c>
      <c r="K37" s="9">
        <v>1903.048</v>
      </c>
      <c r="L37" s="9" t="s">
        <v>43</v>
      </c>
      <c r="M37" s="9" t="s">
        <v>49</v>
      </c>
      <c r="N37" s="9">
        <v>0</v>
      </c>
      <c r="O37" s="9" t="s">
        <v>85</v>
      </c>
      <c r="P37" s="9" t="s">
        <v>182</v>
      </c>
      <c r="Q37" s="21">
        <v>41.91</v>
      </c>
      <c r="R37" s="10">
        <v>45785</v>
      </c>
      <c r="S37" s="8">
        <v>45789</v>
      </c>
      <c r="T37" s="9" t="s">
        <v>247</v>
      </c>
      <c r="U37" s="12"/>
      <c r="X37" s="29"/>
    </row>
    <row r="38" spans="1:41">
      <c r="A38" s="7">
        <v>36</v>
      </c>
      <c r="B38" s="8">
        <v>45172</v>
      </c>
      <c r="C38" s="9" t="s">
        <v>21</v>
      </c>
      <c r="D38" s="9" t="s">
        <v>29</v>
      </c>
      <c r="E38" s="9">
        <v>14</v>
      </c>
      <c r="F38" s="9">
        <v>82.14</v>
      </c>
      <c r="G38" s="9" t="s">
        <v>33</v>
      </c>
      <c r="H38" s="9" t="s">
        <v>36</v>
      </c>
      <c r="I38" s="23">
        <v>0</v>
      </c>
      <c r="J38" s="9" t="s">
        <v>38</v>
      </c>
      <c r="K38" s="9">
        <v>1149.96</v>
      </c>
      <c r="L38" s="9" t="s">
        <v>45</v>
      </c>
      <c r="M38" s="9"/>
      <c r="N38" s="9">
        <v>0</v>
      </c>
      <c r="O38" s="9" t="s">
        <v>86</v>
      </c>
      <c r="P38" s="9" t="s">
        <v>183</v>
      </c>
      <c r="Q38" s="21">
        <v>12.57</v>
      </c>
      <c r="R38" s="10">
        <v>45172</v>
      </c>
      <c r="S38" s="8">
        <v>45180</v>
      </c>
      <c r="T38" s="9" t="s">
        <v>247</v>
      </c>
      <c r="U38" s="12"/>
      <c r="X38" s="29"/>
    </row>
    <row r="39" spans="1:41">
      <c r="A39" s="7">
        <v>37</v>
      </c>
      <c r="B39" s="8">
        <v>45737</v>
      </c>
      <c r="C39" s="9" t="s">
        <v>22</v>
      </c>
      <c r="D39" s="14" t="s">
        <v>27</v>
      </c>
      <c r="E39" s="9">
        <v>9</v>
      </c>
      <c r="F39" s="9">
        <v>343.21</v>
      </c>
      <c r="G39" s="9" t="s">
        <v>32</v>
      </c>
      <c r="H39" s="9" t="s">
        <v>36</v>
      </c>
      <c r="I39" s="23">
        <v>0.05</v>
      </c>
      <c r="J39" s="9" t="s">
        <v>40</v>
      </c>
      <c r="K39" s="9">
        <v>2934.4454999999998</v>
      </c>
      <c r="L39" s="9" t="s">
        <v>46</v>
      </c>
      <c r="M39" s="9" t="s">
        <v>48</v>
      </c>
      <c r="N39" s="9">
        <v>0</v>
      </c>
      <c r="O39" s="9" t="s">
        <v>87</v>
      </c>
      <c r="P39" s="9" t="s">
        <v>184</v>
      </c>
      <c r="Q39" s="21">
        <v>40.29</v>
      </c>
      <c r="R39" s="10">
        <v>45737</v>
      </c>
      <c r="S39" s="8">
        <v>45744</v>
      </c>
      <c r="T39" s="9" t="s">
        <v>248</v>
      </c>
      <c r="U39" s="12"/>
      <c r="X39" s="29"/>
      <c r="AC39" s="17" t="s">
        <v>257</v>
      </c>
      <c r="AD39" s="18" t="s">
        <v>252</v>
      </c>
      <c r="AE39" s="26" t="s">
        <v>256</v>
      </c>
      <c r="AF39" s="18" t="s">
        <v>253</v>
      </c>
      <c r="AG39" s="18" t="s">
        <v>254</v>
      </c>
      <c r="AH39" s="18" t="s">
        <v>255</v>
      </c>
      <c r="AI39" s="18" t="s">
        <v>256</v>
      </c>
      <c r="AJ39" s="19" t="s">
        <v>258</v>
      </c>
    </row>
    <row r="40" spans="1:41">
      <c r="A40" s="7">
        <v>38</v>
      </c>
      <c r="B40" s="8">
        <v>45828</v>
      </c>
      <c r="C40" s="9" t="s">
        <v>20</v>
      </c>
      <c r="D40" s="9" t="s">
        <v>27</v>
      </c>
      <c r="E40" s="9">
        <v>7</v>
      </c>
      <c r="F40" s="9">
        <v>301.01</v>
      </c>
      <c r="G40" s="9" t="s">
        <v>31</v>
      </c>
      <c r="H40" s="9" t="s">
        <v>36</v>
      </c>
      <c r="I40" s="23">
        <v>0.15</v>
      </c>
      <c r="J40" s="9" t="s">
        <v>41</v>
      </c>
      <c r="K40" s="9">
        <v>1791.0094999999999</v>
      </c>
      <c r="L40" s="9" t="s">
        <v>47</v>
      </c>
      <c r="M40" s="9" t="s">
        <v>49</v>
      </c>
      <c r="N40" s="9">
        <v>1</v>
      </c>
      <c r="O40" s="9" t="s">
        <v>88</v>
      </c>
      <c r="P40" s="9" t="s">
        <v>185</v>
      </c>
      <c r="Q40" s="21">
        <v>34.97</v>
      </c>
      <c r="R40" s="10">
        <v>45828</v>
      </c>
      <c r="S40" s="8">
        <v>45838</v>
      </c>
      <c r="T40" s="9" t="s">
        <v>246</v>
      </c>
      <c r="U40" s="12"/>
      <c r="X40" s="29"/>
      <c r="AC40" s="20">
        <v>1</v>
      </c>
      <c r="AD40" s="25" t="s">
        <v>259</v>
      </c>
      <c r="AE40" s="15">
        <v>196</v>
      </c>
      <c r="AF40" s="28">
        <v>1</v>
      </c>
      <c r="AG40" s="15">
        <v>1</v>
      </c>
      <c r="AH40" s="15">
        <v>80</v>
      </c>
      <c r="AI40" s="15">
        <v>196</v>
      </c>
      <c r="AJ40" s="30">
        <f>CHOOSE(3,AF40,AG40,AH40,AI40)</f>
        <v>80</v>
      </c>
    </row>
    <row r="41" spans="1:41">
      <c r="A41" s="7">
        <v>39</v>
      </c>
      <c r="B41" s="8">
        <v>45337</v>
      </c>
      <c r="C41" s="9" t="s">
        <v>22</v>
      </c>
      <c r="D41" s="9" t="s">
        <v>30</v>
      </c>
      <c r="E41" s="9">
        <v>14</v>
      </c>
      <c r="F41" s="9">
        <v>428.13</v>
      </c>
      <c r="G41" s="9" t="s">
        <v>33</v>
      </c>
      <c r="H41" s="9" t="s">
        <v>36</v>
      </c>
      <c r="I41" s="23">
        <v>0.1</v>
      </c>
      <c r="J41" s="9" t="s">
        <v>42</v>
      </c>
      <c r="K41" s="9">
        <v>5394.4380000000001</v>
      </c>
      <c r="L41" s="9" t="s">
        <v>47</v>
      </c>
      <c r="M41" s="9"/>
      <c r="N41" s="9">
        <v>1</v>
      </c>
      <c r="O41" s="9" t="s">
        <v>89</v>
      </c>
      <c r="P41" s="9" t="s">
        <v>186</v>
      </c>
      <c r="Q41" s="21">
        <v>24.77</v>
      </c>
      <c r="R41" s="10">
        <v>45337</v>
      </c>
      <c r="S41" s="8">
        <v>45347</v>
      </c>
      <c r="T41" s="9" t="s">
        <v>248</v>
      </c>
      <c r="U41" s="12"/>
      <c r="X41" s="29"/>
      <c r="AC41" s="20">
        <v>2</v>
      </c>
      <c r="AD41" s="25" t="s">
        <v>260</v>
      </c>
      <c r="AE41" s="15">
        <v>350</v>
      </c>
      <c r="AF41" s="15">
        <v>2</v>
      </c>
      <c r="AG41" s="15">
        <v>2</v>
      </c>
      <c r="AH41" s="15">
        <v>21</v>
      </c>
      <c r="AI41" s="15">
        <v>350</v>
      </c>
      <c r="AJ41" s="30"/>
    </row>
    <row r="42" spans="1:41">
      <c r="A42" s="7">
        <v>40</v>
      </c>
      <c r="B42" s="8">
        <v>45086</v>
      </c>
      <c r="C42" s="9" t="s">
        <v>22</v>
      </c>
      <c r="D42" s="9" t="s">
        <v>24</v>
      </c>
      <c r="E42" s="9">
        <v>2</v>
      </c>
      <c r="F42" s="9">
        <v>503.28</v>
      </c>
      <c r="G42" s="9" t="s">
        <v>34</v>
      </c>
      <c r="H42" s="9" t="s">
        <v>36</v>
      </c>
      <c r="I42" s="23">
        <v>0.15</v>
      </c>
      <c r="J42" s="9" t="s">
        <v>38</v>
      </c>
      <c r="K42" s="9">
        <v>855.57599999999991</v>
      </c>
      <c r="L42" s="9" t="s">
        <v>44</v>
      </c>
      <c r="M42" s="9"/>
      <c r="N42" s="9">
        <v>0</v>
      </c>
      <c r="O42" s="9" t="s">
        <v>90</v>
      </c>
      <c r="P42" s="9" t="s">
        <v>187</v>
      </c>
      <c r="Q42" s="21">
        <v>34.79</v>
      </c>
      <c r="R42" s="10">
        <v>45086</v>
      </c>
      <c r="S42" s="8">
        <v>45094</v>
      </c>
      <c r="T42" s="9" t="s">
        <v>248</v>
      </c>
      <c r="U42" s="12"/>
      <c r="X42" s="29"/>
      <c r="AC42" s="20">
        <v>3</v>
      </c>
      <c r="AD42" s="25" t="s">
        <v>261</v>
      </c>
      <c r="AE42" s="15">
        <v>180</v>
      </c>
      <c r="AF42" s="28">
        <v>3</v>
      </c>
      <c r="AG42" s="15">
        <v>3</v>
      </c>
      <c r="AH42" s="15">
        <v>56</v>
      </c>
      <c r="AI42" s="15">
        <v>180</v>
      </c>
      <c r="AJ42" s="30"/>
      <c r="AL42">
        <v>8</v>
      </c>
      <c r="AO42" t="s">
        <v>255</v>
      </c>
    </row>
    <row r="43" spans="1:41">
      <c r="A43" s="7">
        <v>41</v>
      </c>
      <c r="B43" s="8">
        <v>45148</v>
      </c>
      <c r="C43" s="9" t="s">
        <v>20</v>
      </c>
      <c r="D43" s="9" t="s">
        <v>30</v>
      </c>
      <c r="E43" s="9">
        <v>5</v>
      </c>
      <c r="F43" s="9">
        <v>470.32</v>
      </c>
      <c r="G43" s="9" t="s">
        <v>32</v>
      </c>
      <c r="H43" s="9" t="s">
        <v>36</v>
      </c>
      <c r="I43" s="23">
        <v>0.1</v>
      </c>
      <c r="J43" s="9" t="s">
        <v>37</v>
      </c>
      <c r="K43" s="9">
        <v>2116.44</v>
      </c>
      <c r="L43" s="9" t="s">
        <v>46</v>
      </c>
      <c r="M43" s="9" t="s">
        <v>49</v>
      </c>
      <c r="N43" s="9">
        <v>0</v>
      </c>
      <c r="O43" s="9" t="s">
        <v>91</v>
      </c>
      <c r="P43" s="9" t="s">
        <v>188</v>
      </c>
      <c r="Q43" s="21">
        <v>17.77</v>
      </c>
      <c r="R43" s="10">
        <v>45148</v>
      </c>
      <c r="S43" s="8">
        <v>45152</v>
      </c>
      <c r="T43" s="9" t="s">
        <v>246</v>
      </c>
      <c r="U43" s="12"/>
      <c r="X43" s="29"/>
      <c r="AC43" s="20">
        <v>4</v>
      </c>
      <c r="AD43" s="25" t="s">
        <v>262</v>
      </c>
      <c r="AE43" s="15">
        <v>219</v>
      </c>
      <c r="AF43" s="15">
        <v>4</v>
      </c>
      <c r="AG43" s="15">
        <v>4</v>
      </c>
      <c r="AH43" s="15">
        <v>200</v>
      </c>
      <c r="AI43" s="15">
        <v>219</v>
      </c>
      <c r="AJ43" s="30"/>
    </row>
    <row r="44" spans="1:41">
      <c r="A44" s="7">
        <v>42</v>
      </c>
      <c r="B44" s="8">
        <v>45459</v>
      </c>
      <c r="C44" s="9" t="s">
        <v>22</v>
      </c>
      <c r="D44" s="9" t="s">
        <v>30</v>
      </c>
      <c r="E44" s="9">
        <v>20</v>
      </c>
      <c r="F44" s="9">
        <v>65.17</v>
      </c>
      <c r="G44" s="9" t="s">
        <v>33</v>
      </c>
      <c r="H44" s="9" t="s">
        <v>35</v>
      </c>
      <c r="I44" s="23">
        <v>0.05</v>
      </c>
      <c r="J44" s="9" t="s">
        <v>37</v>
      </c>
      <c r="K44" s="9">
        <v>1238.23</v>
      </c>
      <c r="L44" s="9" t="s">
        <v>44</v>
      </c>
      <c r="M44" s="9" t="s">
        <v>48</v>
      </c>
      <c r="N44" s="9">
        <v>0</v>
      </c>
      <c r="O44" s="9" t="s">
        <v>92</v>
      </c>
      <c r="P44" s="9" t="s">
        <v>189</v>
      </c>
      <c r="Q44" s="21">
        <v>21.72</v>
      </c>
      <c r="R44" s="10">
        <v>45459</v>
      </c>
      <c r="S44" s="8">
        <v>45468</v>
      </c>
      <c r="T44" s="9" t="s">
        <v>248</v>
      </c>
      <c r="U44" s="12"/>
      <c r="X44" s="29"/>
      <c r="AC44" s="20">
        <v>5</v>
      </c>
      <c r="AD44" s="25" t="s">
        <v>263</v>
      </c>
      <c r="AE44" s="15">
        <v>184</v>
      </c>
      <c r="AF44" s="28">
        <v>25</v>
      </c>
      <c r="AG44" s="15">
        <v>35</v>
      </c>
      <c r="AH44" s="15">
        <v>22</v>
      </c>
      <c r="AI44" s="15">
        <v>184</v>
      </c>
      <c r="AJ44" s="30"/>
    </row>
    <row r="45" spans="1:41">
      <c r="A45" s="7">
        <v>43</v>
      </c>
      <c r="B45" s="8">
        <v>45130</v>
      </c>
      <c r="C45" s="9" t="s">
        <v>20</v>
      </c>
      <c r="D45" s="9" t="s">
        <v>24</v>
      </c>
      <c r="E45" s="9">
        <v>12</v>
      </c>
      <c r="F45" s="9">
        <v>36.17</v>
      </c>
      <c r="G45" s="9" t="s">
        <v>32</v>
      </c>
      <c r="H45" s="9" t="s">
        <v>36</v>
      </c>
      <c r="I45" s="23">
        <v>0</v>
      </c>
      <c r="J45" s="9" t="s">
        <v>37</v>
      </c>
      <c r="K45" s="9">
        <v>434.04</v>
      </c>
      <c r="L45" s="9" t="s">
        <v>43</v>
      </c>
      <c r="M45" s="9" t="s">
        <v>50</v>
      </c>
      <c r="N45" s="9">
        <v>0</v>
      </c>
      <c r="O45" s="9" t="s">
        <v>93</v>
      </c>
      <c r="P45" s="9" t="s">
        <v>190</v>
      </c>
      <c r="Q45" s="21">
        <v>34.85</v>
      </c>
      <c r="R45" s="10">
        <v>45130</v>
      </c>
      <c r="S45" s="8">
        <v>45133</v>
      </c>
      <c r="T45" s="9" t="s">
        <v>246</v>
      </c>
      <c r="U45" s="12"/>
      <c r="X45" s="29"/>
      <c r="AC45" s="20">
        <v>6</v>
      </c>
      <c r="AD45" s="25" t="s">
        <v>264</v>
      </c>
      <c r="AE45" s="15">
        <v>232</v>
      </c>
      <c r="AF45" s="15">
        <v>6</v>
      </c>
      <c r="AG45" s="15">
        <v>6</v>
      </c>
      <c r="AH45" s="15">
        <v>42</v>
      </c>
      <c r="AI45" s="15">
        <v>232</v>
      </c>
      <c r="AJ45" s="30"/>
    </row>
    <row r="46" spans="1:41">
      <c r="A46" s="7">
        <v>44</v>
      </c>
      <c r="B46" s="8">
        <v>45066</v>
      </c>
      <c r="C46" s="9" t="s">
        <v>22</v>
      </c>
      <c r="D46" s="9" t="s">
        <v>30</v>
      </c>
      <c r="E46" s="9">
        <v>4</v>
      </c>
      <c r="F46" s="14">
        <v>459.31</v>
      </c>
      <c r="G46" s="9" t="s">
        <v>34</v>
      </c>
      <c r="H46" s="9" t="s">
        <v>35</v>
      </c>
      <c r="I46" s="23">
        <v>0.15</v>
      </c>
      <c r="J46" s="9" t="s">
        <v>40</v>
      </c>
      <c r="K46" s="9">
        <v>1561.654</v>
      </c>
      <c r="L46" s="9" t="s">
        <v>44</v>
      </c>
      <c r="M46" s="9" t="s">
        <v>50</v>
      </c>
      <c r="N46" s="9">
        <v>1</v>
      </c>
      <c r="O46" s="9" t="s">
        <v>94</v>
      </c>
      <c r="P46" s="9" t="s">
        <v>191</v>
      </c>
      <c r="Q46" s="21">
        <v>27.39</v>
      </c>
      <c r="R46" s="10">
        <v>45066</v>
      </c>
      <c r="S46" s="8">
        <v>45073</v>
      </c>
      <c r="T46" s="9" t="s">
        <v>248</v>
      </c>
      <c r="U46" s="12"/>
      <c r="AC46" s="20">
        <v>7</v>
      </c>
      <c r="AD46" s="25" t="s">
        <v>265</v>
      </c>
      <c r="AE46" s="15">
        <v>290</v>
      </c>
      <c r="AF46" s="28">
        <v>7</v>
      </c>
      <c r="AG46" s="15">
        <v>7</v>
      </c>
      <c r="AH46" s="15">
        <v>21</v>
      </c>
      <c r="AI46" s="15">
        <v>290</v>
      </c>
      <c r="AJ46" s="30"/>
    </row>
    <row r="47" spans="1:41">
      <c r="A47" s="7">
        <v>45</v>
      </c>
      <c r="B47" s="8">
        <v>45107</v>
      </c>
      <c r="C47" s="9" t="s">
        <v>20</v>
      </c>
      <c r="D47" s="9" t="s">
        <v>24</v>
      </c>
      <c r="E47" s="9">
        <v>2</v>
      </c>
      <c r="F47" s="9">
        <v>416.06</v>
      </c>
      <c r="G47" s="9" t="s">
        <v>34</v>
      </c>
      <c r="H47" s="9" t="s">
        <v>36</v>
      </c>
      <c r="I47" s="23">
        <v>0.05</v>
      </c>
      <c r="J47" s="9" t="s">
        <v>37</v>
      </c>
      <c r="K47" s="9">
        <v>790.51400000000001</v>
      </c>
      <c r="L47" s="9" t="s">
        <v>46</v>
      </c>
      <c r="M47" s="9" t="s">
        <v>49</v>
      </c>
      <c r="N47" s="9">
        <v>0</v>
      </c>
      <c r="O47" s="9" t="s">
        <v>95</v>
      </c>
      <c r="P47" s="9" t="s">
        <v>192</v>
      </c>
      <c r="Q47" s="21">
        <v>11.62</v>
      </c>
      <c r="R47" s="10">
        <v>45107</v>
      </c>
      <c r="S47" s="8">
        <v>45111</v>
      </c>
      <c r="T47" s="9" t="s">
        <v>246</v>
      </c>
      <c r="U47" s="12"/>
      <c r="AC47" s="20">
        <v>8</v>
      </c>
      <c r="AD47" s="25" t="s">
        <v>266</v>
      </c>
      <c r="AE47" s="15">
        <v>235</v>
      </c>
      <c r="AF47" s="15">
        <v>8</v>
      </c>
      <c r="AG47" s="15">
        <v>8</v>
      </c>
      <c r="AH47" s="15">
        <v>78</v>
      </c>
      <c r="AI47" s="15">
        <v>235</v>
      </c>
      <c r="AJ47" s="30"/>
      <c r="AL47" t="s">
        <v>269</v>
      </c>
      <c r="AM47">
        <f>MATCH(AL42,AC40:AC49,0)</f>
        <v>8</v>
      </c>
    </row>
    <row r="48" spans="1:41">
      <c r="A48" s="7">
        <v>46</v>
      </c>
      <c r="B48" s="8">
        <v>45447</v>
      </c>
      <c r="C48" s="9" t="s">
        <v>20</v>
      </c>
      <c r="D48" s="9" t="s">
        <v>29</v>
      </c>
      <c r="E48" s="9">
        <v>16</v>
      </c>
      <c r="F48" s="9">
        <v>302.58</v>
      </c>
      <c r="G48" s="9" t="s">
        <v>34</v>
      </c>
      <c r="H48" s="9" t="s">
        <v>36</v>
      </c>
      <c r="I48" s="23">
        <v>0</v>
      </c>
      <c r="J48" s="9" t="s">
        <v>38</v>
      </c>
      <c r="K48" s="9">
        <v>4841.28</v>
      </c>
      <c r="L48" s="9" t="s">
        <v>43</v>
      </c>
      <c r="M48" s="9" t="s">
        <v>50</v>
      </c>
      <c r="N48" s="9">
        <v>1</v>
      </c>
      <c r="O48" s="9" t="s">
        <v>96</v>
      </c>
      <c r="P48" s="9" t="s">
        <v>193</v>
      </c>
      <c r="Q48" s="21">
        <v>20.76</v>
      </c>
      <c r="R48" s="10">
        <v>45447</v>
      </c>
      <c r="S48" s="8">
        <v>45457</v>
      </c>
      <c r="T48" s="9" t="s">
        <v>246</v>
      </c>
      <c r="U48" s="12"/>
      <c r="AC48" s="20">
        <v>9</v>
      </c>
      <c r="AD48" s="25" t="s">
        <v>267</v>
      </c>
      <c r="AE48" s="15">
        <v>134</v>
      </c>
      <c r="AF48" s="28">
        <v>9</v>
      </c>
      <c r="AG48" s="15">
        <v>9</v>
      </c>
      <c r="AH48" s="15">
        <v>82</v>
      </c>
      <c r="AI48" s="15">
        <v>134</v>
      </c>
      <c r="AJ48" s="30"/>
      <c r="AL48" t="s">
        <v>270</v>
      </c>
      <c r="AM48">
        <f>MATCH(AO42,AF39:AI39,0)</f>
        <v>3</v>
      </c>
    </row>
    <row r="49" spans="1:38" ht="15" thickBot="1">
      <c r="A49" s="7">
        <v>47</v>
      </c>
      <c r="B49" s="8">
        <v>45691</v>
      </c>
      <c r="C49" s="9" t="s">
        <v>23</v>
      </c>
      <c r="D49" s="9" t="s">
        <v>27</v>
      </c>
      <c r="E49" s="9">
        <v>11</v>
      </c>
      <c r="F49" s="9">
        <v>33.130000000000003</v>
      </c>
      <c r="G49" s="9" t="s">
        <v>32</v>
      </c>
      <c r="H49" s="9" t="s">
        <v>36</v>
      </c>
      <c r="I49" s="23">
        <v>0.15</v>
      </c>
      <c r="J49" s="9" t="s">
        <v>39</v>
      </c>
      <c r="K49" s="9">
        <v>309.76549999999997</v>
      </c>
      <c r="L49" s="9" t="s">
        <v>43</v>
      </c>
      <c r="M49" s="9" t="s">
        <v>48</v>
      </c>
      <c r="N49" s="9">
        <v>0</v>
      </c>
      <c r="O49" s="9" t="s">
        <v>97</v>
      </c>
      <c r="P49" s="9" t="s">
        <v>194</v>
      </c>
      <c r="Q49" s="21">
        <v>24.95</v>
      </c>
      <c r="R49" s="10">
        <v>45691</v>
      </c>
      <c r="S49" s="8">
        <v>45693</v>
      </c>
      <c r="T49" s="9" t="s">
        <v>249</v>
      </c>
      <c r="U49" s="12"/>
      <c r="AC49" s="20">
        <v>10</v>
      </c>
      <c r="AD49" s="25" t="s">
        <v>268</v>
      </c>
      <c r="AE49" s="16">
        <v>181</v>
      </c>
      <c r="AF49" s="15">
        <v>10</v>
      </c>
      <c r="AG49" s="25" t="s">
        <v>271</v>
      </c>
      <c r="AH49" s="16">
        <v>24</v>
      </c>
      <c r="AI49" s="16">
        <v>181</v>
      </c>
      <c r="AJ49" s="30"/>
    </row>
    <row r="50" spans="1:38">
      <c r="A50" s="7">
        <v>48</v>
      </c>
      <c r="B50" s="8">
        <v>45300</v>
      </c>
      <c r="C50" s="9" t="s">
        <v>19</v>
      </c>
      <c r="D50" s="14" t="s">
        <v>29</v>
      </c>
      <c r="E50" s="9">
        <v>8</v>
      </c>
      <c r="F50" s="9">
        <v>582.52</v>
      </c>
      <c r="G50" s="9" t="s">
        <v>34</v>
      </c>
      <c r="H50" s="9" t="s">
        <v>36</v>
      </c>
      <c r="I50" s="23">
        <v>0.15</v>
      </c>
      <c r="J50" s="9" t="s">
        <v>39</v>
      </c>
      <c r="K50" s="9">
        <v>3961.136</v>
      </c>
      <c r="L50" s="9" t="s">
        <v>44</v>
      </c>
      <c r="M50" s="9" t="s">
        <v>50</v>
      </c>
      <c r="N50" s="9">
        <v>0</v>
      </c>
      <c r="O50" s="9" t="s">
        <v>98</v>
      </c>
      <c r="P50" s="9" t="s">
        <v>195</v>
      </c>
      <c r="Q50" s="21">
        <v>6.47</v>
      </c>
      <c r="R50" s="10">
        <v>45300</v>
      </c>
      <c r="S50" s="8">
        <v>45304</v>
      </c>
      <c r="T50" s="9" t="s">
        <v>245</v>
      </c>
      <c r="U50" s="12"/>
      <c r="AL50">
        <f>INDEX(AC39:AJ49,AM47,AM48)</f>
        <v>290</v>
      </c>
    </row>
    <row r="51" spans="1:38">
      <c r="A51" s="7">
        <v>49</v>
      </c>
      <c r="B51" s="8">
        <v>45365</v>
      </c>
      <c r="C51" s="9" t="s">
        <v>21</v>
      </c>
      <c r="D51" s="9" t="s">
        <v>26</v>
      </c>
      <c r="E51" s="9">
        <v>5</v>
      </c>
      <c r="F51" s="9">
        <v>165.15</v>
      </c>
      <c r="G51" s="9" t="s">
        <v>32</v>
      </c>
      <c r="H51" s="9" t="s">
        <v>36</v>
      </c>
      <c r="I51" s="23">
        <v>0.1</v>
      </c>
      <c r="J51" s="9" t="s">
        <v>37</v>
      </c>
      <c r="K51" s="9">
        <v>743.17500000000007</v>
      </c>
      <c r="L51" s="9" t="s">
        <v>44</v>
      </c>
      <c r="M51" s="9"/>
      <c r="N51" s="9">
        <v>0</v>
      </c>
      <c r="O51" s="9" t="s">
        <v>99</v>
      </c>
      <c r="P51" s="9" t="s">
        <v>196</v>
      </c>
      <c r="Q51" s="21">
        <v>20.57</v>
      </c>
      <c r="R51" s="10">
        <v>45365</v>
      </c>
      <c r="S51" s="8">
        <v>45367</v>
      </c>
      <c r="T51" s="9" t="s">
        <v>247</v>
      </c>
      <c r="U51" s="12"/>
    </row>
    <row r="52" spans="1:38">
      <c r="A52" s="7">
        <v>50</v>
      </c>
      <c r="B52" s="8">
        <v>45541</v>
      </c>
      <c r="C52" s="9" t="s">
        <v>23</v>
      </c>
      <c r="D52" s="9" t="s">
        <v>28</v>
      </c>
      <c r="E52" s="9">
        <v>14</v>
      </c>
      <c r="F52" s="9">
        <v>242.82</v>
      </c>
      <c r="G52" s="9" t="s">
        <v>34</v>
      </c>
      <c r="H52" s="9" t="s">
        <v>35</v>
      </c>
      <c r="I52" s="23">
        <v>0.15</v>
      </c>
      <c r="J52" s="9" t="s">
        <v>38</v>
      </c>
      <c r="K52" s="9">
        <v>2889.558</v>
      </c>
      <c r="L52" s="9" t="s">
        <v>47</v>
      </c>
      <c r="M52" s="9" t="s">
        <v>50</v>
      </c>
      <c r="N52" s="9">
        <v>1</v>
      </c>
      <c r="O52" s="9" t="s">
        <v>100</v>
      </c>
      <c r="P52" s="9" t="s">
        <v>197</v>
      </c>
      <c r="Q52" s="21">
        <v>20.71</v>
      </c>
      <c r="R52" s="10">
        <v>45541</v>
      </c>
      <c r="S52" s="8">
        <v>45548</v>
      </c>
      <c r="T52" s="9" t="s">
        <v>249</v>
      </c>
      <c r="U52" s="12"/>
    </row>
    <row r="53" spans="1:38">
      <c r="A53" s="7">
        <v>51</v>
      </c>
      <c r="B53" s="8">
        <v>45002</v>
      </c>
      <c r="C53" s="9" t="s">
        <v>19</v>
      </c>
      <c r="D53" s="14" t="s">
        <v>28</v>
      </c>
      <c r="E53" s="9">
        <v>13</v>
      </c>
      <c r="F53" s="9">
        <v>65.989999999999995</v>
      </c>
      <c r="G53" s="9" t="s">
        <v>32</v>
      </c>
      <c r="H53" s="9" t="s">
        <v>35</v>
      </c>
      <c r="I53" s="23">
        <v>0.1</v>
      </c>
      <c r="J53" s="9" t="s">
        <v>39</v>
      </c>
      <c r="K53" s="9">
        <v>772.08299999999997</v>
      </c>
      <c r="L53" s="9" t="s">
        <v>47</v>
      </c>
      <c r="M53" s="9" t="s">
        <v>50</v>
      </c>
      <c r="N53" s="9">
        <v>0</v>
      </c>
      <c r="O53" s="9" t="s">
        <v>101</v>
      </c>
      <c r="P53" s="9" t="s">
        <v>198</v>
      </c>
      <c r="Q53" s="21">
        <v>12.87</v>
      </c>
      <c r="R53" s="10">
        <v>45002</v>
      </c>
      <c r="S53" s="8">
        <v>45005</v>
      </c>
      <c r="T53" s="9" t="s">
        <v>245</v>
      </c>
      <c r="U53" s="12"/>
      <c r="AC53" s="32" t="s">
        <v>252</v>
      </c>
      <c r="AD53" s="47" t="s">
        <v>272</v>
      </c>
    </row>
    <row r="54" spans="1:38">
      <c r="A54" s="7">
        <v>52</v>
      </c>
      <c r="B54" s="8">
        <v>45674</v>
      </c>
      <c r="C54" s="9" t="s">
        <v>23</v>
      </c>
      <c r="D54" s="9" t="s">
        <v>27</v>
      </c>
      <c r="E54" s="9">
        <v>2</v>
      </c>
      <c r="F54" s="9">
        <v>251.69</v>
      </c>
      <c r="G54" s="9" t="s">
        <v>33</v>
      </c>
      <c r="H54" s="9" t="s">
        <v>35</v>
      </c>
      <c r="I54" s="23">
        <v>0</v>
      </c>
      <c r="J54" s="9" t="s">
        <v>38</v>
      </c>
      <c r="K54" s="9">
        <v>503.38</v>
      </c>
      <c r="L54" s="9" t="s">
        <v>46</v>
      </c>
      <c r="M54" s="9" t="s">
        <v>48</v>
      </c>
      <c r="N54" s="9">
        <v>0</v>
      </c>
      <c r="O54" s="9" t="s">
        <v>102</v>
      </c>
      <c r="P54" s="9" t="s">
        <v>199</v>
      </c>
      <c r="Q54" s="21">
        <v>42.49</v>
      </c>
      <c r="R54" s="10">
        <v>45674</v>
      </c>
      <c r="S54" s="8">
        <v>45681</v>
      </c>
      <c r="T54" s="9" t="s">
        <v>249</v>
      </c>
      <c r="U54" s="12"/>
      <c r="AC54" s="47" t="s">
        <v>261</v>
      </c>
      <c r="AD54" s="31">
        <v>180</v>
      </c>
    </row>
    <row r="55" spans="1:38">
      <c r="A55" s="7">
        <v>53</v>
      </c>
      <c r="B55" s="8">
        <v>45547</v>
      </c>
      <c r="C55" s="9" t="s">
        <v>20</v>
      </c>
      <c r="D55" s="9" t="s">
        <v>24</v>
      </c>
      <c r="E55" s="9">
        <v>1</v>
      </c>
      <c r="F55" s="9">
        <v>269.41000000000003</v>
      </c>
      <c r="G55" s="9" t="s">
        <v>31</v>
      </c>
      <c r="H55" s="9" t="s">
        <v>35</v>
      </c>
      <c r="I55" s="23">
        <v>0.1</v>
      </c>
      <c r="J55" s="9" t="s">
        <v>37</v>
      </c>
      <c r="K55" s="9">
        <v>242.46899999999999</v>
      </c>
      <c r="L55" s="9" t="s">
        <v>47</v>
      </c>
      <c r="M55" s="9" t="s">
        <v>50</v>
      </c>
      <c r="N55" s="9">
        <v>1</v>
      </c>
      <c r="O55" s="9" t="s">
        <v>103</v>
      </c>
      <c r="P55" s="9" t="s">
        <v>200</v>
      </c>
      <c r="Q55" s="21">
        <v>19.22</v>
      </c>
      <c r="R55" s="10">
        <v>45547</v>
      </c>
      <c r="S55" s="8">
        <v>45553</v>
      </c>
      <c r="T55" s="9" t="s">
        <v>246</v>
      </c>
      <c r="U55" s="12"/>
      <c r="AC55" s="47" t="s">
        <v>259</v>
      </c>
      <c r="AD55" s="31">
        <v>196</v>
      </c>
    </row>
    <row r="56" spans="1:38">
      <c r="A56" s="7">
        <v>54</v>
      </c>
      <c r="B56" s="8">
        <v>45296</v>
      </c>
      <c r="C56" s="9" t="s">
        <v>20</v>
      </c>
      <c r="D56" s="14" t="s">
        <v>28</v>
      </c>
      <c r="E56" s="9">
        <v>2</v>
      </c>
      <c r="F56" s="9">
        <v>371.3</v>
      </c>
      <c r="G56" s="9" t="s">
        <v>31</v>
      </c>
      <c r="H56" s="9" t="s">
        <v>35</v>
      </c>
      <c r="I56" s="23">
        <v>0.05</v>
      </c>
      <c r="J56" s="9" t="s">
        <v>42</v>
      </c>
      <c r="K56" s="9">
        <v>705.47</v>
      </c>
      <c r="L56" s="9" t="s">
        <v>45</v>
      </c>
      <c r="M56" s="9" t="s">
        <v>49</v>
      </c>
      <c r="N56" s="9">
        <v>0</v>
      </c>
      <c r="O56" s="9" t="s">
        <v>104</v>
      </c>
      <c r="P56" s="9" t="s">
        <v>201</v>
      </c>
      <c r="Q56" s="21">
        <v>36.51</v>
      </c>
      <c r="R56" s="10">
        <v>45296</v>
      </c>
      <c r="S56" s="8">
        <v>45306</v>
      </c>
      <c r="T56" s="9" t="s">
        <v>246</v>
      </c>
      <c r="U56" s="12"/>
      <c r="AC56" s="47" t="s">
        <v>264</v>
      </c>
      <c r="AD56" s="31">
        <v>232</v>
      </c>
    </row>
    <row r="57" spans="1:38">
      <c r="A57" s="7">
        <v>55</v>
      </c>
      <c r="B57" s="8">
        <v>45401</v>
      </c>
      <c r="C57" s="9" t="s">
        <v>23</v>
      </c>
      <c r="D57" s="9" t="s">
        <v>29</v>
      </c>
      <c r="E57" s="9">
        <v>11</v>
      </c>
      <c r="F57" s="9">
        <v>288.24</v>
      </c>
      <c r="G57" s="9" t="s">
        <v>32</v>
      </c>
      <c r="H57" s="9" t="s">
        <v>35</v>
      </c>
      <c r="I57" s="23">
        <v>0.15</v>
      </c>
      <c r="J57" s="9" t="s">
        <v>41</v>
      </c>
      <c r="K57" s="9">
        <v>2695.0439999999999</v>
      </c>
      <c r="L57" s="9" t="s">
        <v>43</v>
      </c>
      <c r="M57" s="9"/>
      <c r="N57" s="9">
        <v>0</v>
      </c>
      <c r="O57" s="9" t="s">
        <v>105</v>
      </c>
      <c r="P57" s="9" t="s">
        <v>202</v>
      </c>
      <c r="Q57" s="21">
        <v>37.39</v>
      </c>
      <c r="R57" s="10">
        <v>45401</v>
      </c>
      <c r="S57" s="8">
        <v>45407</v>
      </c>
      <c r="T57" s="9" t="s">
        <v>249</v>
      </c>
      <c r="U57" s="12"/>
      <c r="AC57" s="47" t="s">
        <v>260</v>
      </c>
      <c r="AD57" s="31">
        <v>350</v>
      </c>
    </row>
    <row r="58" spans="1:38">
      <c r="A58" s="7">
        <v>56</v>
      </c>
      <c r="B58" s="8">
        <v>45819</v>
      </c>
      <c r="C58" s="9" t="s">
        <v>22</v>
      </c>
      <c r="D58" s="9" t="s">
        <v>29</v>
      </c>
      <c r="E58" s="9">
        <v>11</v>
      </c>
      <c r="F58" s="9">
        <v>232.75</v>
      </c>
      <c r="G58" s="9" t="s">
        <v>34</v>
      </c>
      <c r="H58" s="9" t="s">
        <v>35</v>
      </c>
      <c r="I58" s="23">
        <v>0.05</v>
      </c>
      <c r="J58" s="9" t="s">
        <v>37</v>
      </c>
      <c r="K58" s="9">
        <v>2432.2375000000002</v>
      </c>
      <c r="L58" s="9" t="s">
        <v>45</v>
      </c>
      <c r="M58" s="9" t="s">
        <v>49</v>
      </c>
      <c r="N58" s="9">
        <v>0</v>
      </c>
      <c r="O58" s="9" t="s">
        <v>106</v>
      </c>
      <c r="P58" s="9" t="s">
        <v>203</v>
      </c>
      <c r="Q58" s="21">
        <v>36.33</v>
      </c>
      <c r="R58" s="10">
        <v>45819</v>
      </c>
      <c r="S58" s="8">
        <v>45829</v>
      </c>
      <c r="T58" s="9" t="s">
        <v>248</v>
      </c>
      <c r="U58" s="12"/>
      <c r="AC58" s="47" t="s">
        <v>266</v>
      </c>
      <c r="AD58" s="31">
        <v>235</v>
      </c>
    </row>
    <row r="59" spans="1:38">
      <c r="A59" s="7">
        <v>57</v>
      </c>
      <c r="B59" s="8">
        <v>45722</v>
      </c>
      <c r="C59" s="9" t="s">
        <v>19</v>
      </c>
      <c r="D59" s="9" t="s">
        <v>25</v>
      </c>
      <c r="E59" s="9">
        <v>17</v>
      </c>
      <c r="F59" s="9">
        <v>146.28</v>
      </c>
      <c r="G59" s="9" t="s">
        <v>31</v>
      </c>
      <c r="H59" s="9" t="s">
        <v>36</v>
      </c>
      <c r="I59" s="23">
        <v>0.15</v>
      </c>
      <c r="J59" s="9" t="s">
        <v>40</v>
      </c>
      <c r="K59" s="9">
        <v>2113.7460000000001</v>
      </c>
      <c r="L59" s="9" t="s">
        <v>47</v>
      </c>
      <c r="M59" s="9" t="s">
        <v>49</v>
      </c>
      <c r="N59" s="9">
        <v>0</v>
      </c>
      <c r="O59" s="9" t="s">
        <v>107</v>
      </c>
      <c r="P59" s="9" t="s">
        <v>204</v>
      </c>
      <c r="Q59" s="21">
        <v>7.84</v>
      </c>
      <c r="R59" s="10">
        <v>45722</v>
      </c>
      <c r="S59" s="8">
        <v>45731</v>
      </c>
      <c r="T59" s="9" t="s">
        <v>245</v>
      </c>
      <c r="U59" s="12"/>
      <c r="AC59" s="47" t="s">
        <v>263</v>
      </c>
      <c r="AD59" s="31">
        <v>184</v>
      </c>
    </row>
    <row r="60" spans="1:38">
      <c r="A60" s="7">
        <v>58</v>
      </c>
      <c r="B60" s="8">
        <v>45070</v>
      </c>
      <c r="C60" s="9" t="s">
        <v>19</v>
      </c>
      <c r="D60" s="9" t="s">
        <v>27</v>
      </c>
      <c r="E60" s="9">
        <v>5</v>
      </c>
      <c r="F60" s="9">
        <v>100.38</v>
      </c>
      <c r="G60" s="9" t="s">
        <v>33</v>
      </c>
      <c r="H60" s="9" t="s">
        <v>36</v>
      </c>
      <c r="I60" s="23">
        <v>0.1</v>
      </c>
      <c r="J60" s="9" t="s">
        <v>37</v>
      </c>
      <c r="K60" s="9">
        <v>451.71</v>
      </c>
      <c r="L60" s="9" t="s">
        <v>44</v>
      </c>
      <c r="M60" s="9" t="s">
        <v>50</v>
      </c>
      <c r="N60" s="9">
        <v>1</v>
      </c>
      <c r="O60" s="9" t="s">
        <v>108</v>
      </c>
      <c r="P60" s="9" t="s">
        <v>205</v>
      </c>
      <c r="Q60" s="21">
        <v>18.350000000000001</v>
      </c>
      <c r="R60" s="10">
        <v>45070</v>
      </c>
      <c r="S60" s="8">
        <v>45072</v>
      </c>
      <c r="T60" s="9" t="s">
        <v>245</v>
      </c>
      <c r="U60" s="12"/>
      <c r="AC60" s="47" t="s">
        <v>267</v>
      </c>
      <c r="AD60" s="31">
        <v>134</v>
      </c>
    </row>
    <row r="61" spans="1:38">
      <c r="A61" s="7">
        <v>59</v>
      </c>
      <c r="B61" s="8">
        <v>44953</v>
      </c>
      <c r="C61" s="9" t="s">
        <v>20</v>
      </c>
      <c r="D61" s="9" t="s">
        <v>25</v>
      </c>
      <c r="E61" s="9">
        <v>11</v>
      </c>
      <c r="F61" s="9">
        <v>375.48</v>
      </c>
      <c r="G61" s="9" t="s">
        <v>31</v>
      </c>
      <c r="H61" s="9" t="s">
        <v>36</v>
      </c>
      <c r="I61" s="23">
        <v>0.05</v>
      </c>
      <c r="J61" s="9" t="s">
        <v>42</v>
      </c>
      <c r="K61" s="9">
        <v>3923.766000000001</v>
      </c>
      <c r="L61" s="9" t="s">
        <v>46</v>
      </c>
      <c r="M61" s="9" t="s">
        <v>50</v>
      </c>
      <c r="N61" s="9">
        <v>0</v>
      </c>
      <c r="O61" s="9" t="s">
        <v>109</v>
      </c>
      <c r="P61" s="9" t="s">
        <v>206</v>
      </c>
      <c r="Q61" s="21">
        <v>15.95</v>
      </c>
      <c r="R61" s="10">
        <v>44953</v>
      </c>
      <c r="S61" s="8">
        <v>44960</v>
      </c>
      <c r="T61" s="9" t="s">
        <v>246</v>
      </c>
      <c r="U61" s="12"/>
      <c r="AC61" s="47" t="s">
        <v>262</v>
      </c>
      <c r="AD61" s="31">
        <v>219</v>
      </c>
    </row>
    <row r="62" spans="1:38">
      <c r="A62" s="7">
        <v>60</v>
      </c>
      <c r="B62" s="8">
        <v>45372</v>
      </c>
      <c r="C62" s="9" t="s">
        <v>20</v>
      </c>
      <c r="D62" s="9" t="s">
        <v>24</v>
      </c>
      <c r="E62" s="9">
        <v>18</v>
      </c>
      <c r="F62" s="9">
        <v>316.89</v>
      </c>
      <c r="G62" s="9" t="s">
        <v>31</v>
      </c>
      <c r="H62" s="9" t="s">
        <v>35</v>
      </c>
      <c r="I62" s="23">
        <v>0.05</v>
      </c>
      <c r="J62" s="9" t="s">
        <v>42</v>
      </c>
      <c r="K62" s="9">
        <v>5418.8190000000004</v>
      </c>
      <c r="L62" s="9" t="s">
        <v>47</v>
      </c>
      <c r="M62" s="9" t="s">
        <v>48</v>
      </c>
      <c r="N62" s="9">
        <v>0</v>
      </c>
      <c r="O62" s="9" t="s">
        <v>110</v>
      </c>
      <c r="P62" s="9" t="s">
        <v>207</v>
      </c>
      <c r="Q62" s="21">
        <v>15.69</v>
      </c>
      <c r="R62" s="10">
        <v>45372</v>
      </c>
      <c r="S62" s="8">
        <v>45378</v>
      </c>
      <c r="T62" s="9" t="s">
        <v>246</v>
      </c>
      <c r="U62" s="12"/>
      <c r="AC62" s="47" t="s">
        <v>268</v>
      </c>
      <c r="AD62" s="31">
        <v>181</v>
      </c>
    </row>
    <row r="63" spans="1:38">
      <c r="A63" s="7">
        <v>61</v>
      </c>
      <c r="B63" s="8">
        <v>45682</v>
      </c>
      <c r="C63" s="9" t="s">
        <v>23</v>
      </c>
      <c r="D63" s="9" t="s">
        <v>24</v>
      </c>
      <c r="E63" s="9">
        <v>20</v>
      </c>
      <c r="F63" s="9">
        <v>295.06</v>
      </c>
      <c r="G63" s="9" t="s">
        <v>34</v>
      </c>
      <c r="H63" s="9" t="s">
        <v>36</v>
      </c>
      <c r="I63" s="23">
        <v>0.15</v>
      </c>
      <c r="J63" s="9" t="s">
        <v>39</v>
      </c>
      <c r="K63" s="9">
        <v>5016.0200000000004</v>
      </c>
      <c r="L63" s="9" t="s">
        <v>43</v>
      </c>
      <c r="M63" s="9" t="s">
        <v>49</v>
      </c>
      <c r="N63" s="9">
        <v>1</v>
      </c>
      <c r="O63" s="9" t="s">
        <v>111</v>
      </c>
      <c r="P63" s="9" t="s">
        <v>208</v>
      </c>
      <c r="Q63" s="21">
        <v>13.66</v>
      </c>
      <c r="R63" s="10">
        <v>45682</v>
      </c>
      <c r="S63" s="8">
        <v>45688</v>
      </c>
      <c r="T63" s="9" t="s">
        <v>249</v>
      </c>
      <c r="U63" s="12"/>
      <c r="AC63" s="47" t="s">
        <v>265</v>
      </c>
      <c r="AD63" s="31">
        <v>290</v>
      </c>
    </row>
    <row r="64" spans="1:38">
      <c r="A64" s="7">
        <v>62</v>
      </c>
      <c r="B64" s="8">
        <v>45089</v>
      </c>
      <c r="C64" s="9" t="s">
        <v>22</v>
      </c>
      <c r="D64" s="9" t="s">
        <v>25</v>
      </c>
      <c r="E64" s="9">
        <v>8</v>
      </c>
      <c r="F64" s="9">
        <v>301.68</v>
      </c>
      <c r="G64" s="9" t="s">
        <v>34</v>
      </c>
      <c r="H64" s="9" t="s">
        <v>36</v>
      </c>
      <c r="I64" s="23">
        <v>0</v>
      </c>
      <c r="J64" s="9" t="s">
        <v>37</v>
      </c>
      <c r="K64" s="9">
        <v>2413.44</v>
      </c>
      <c r="L64" s="9" t="s">
        <v>47</v>
      </c>
      <c r="M64" s="9" t="s">
        <v>49</v>
      </c>
      <c r="N64" s="9">
        <v>0</v>
      </c>
      <c r="O64" s="9" t="s">
        <v>112</v>
      </c>
      <c r="P64" s="9" t="s">
        <v>209</v>
      </c>
      <c r="Q64" s="21">
        <v>36.54</v>
      </c>
      <c r="R64" s="10">
        <v>45089</v>
      </c>
      <c r="S64" s="8">
        <v>45098</v>
      </c>
      <c r="T64" s="9" t="s">
        <v>248</v>
      </c>
      <c r="U64" s="12"/>
    </row>
    <row r="65" spans="1:21">
      <c r="A65" s="7">
        <v>63</v>
      </c>
      <c r="B65" s="8">
        <v>45738</v>
      </c>
      <c r="C65" s="9" t="s">
        <v>22</v>
      </c>
      <c r="D65" s="9" t="s">
        <v>27</v>
      </c>
      <c r="E65" s="9">
        <v>3</v>
      </c>
      <c r="F65" s="9">
        <v>475.39</v>
      </c>
      <c r="G65" s="9" t="s">
        <v>31</v>
      </c>
      <c r="H65" s="9" t="s">
        <v>36</v>
      </c>
      <c r="I65" s="23">
        <v>0.1</v>
      </c>
      <c r="J65" s="9" t="s">
        <v>38</v>
      </c>
      <c r="K65" s="9">
        <v>1283.5530000000001</v>
      </c>
      <c r="L65" s="9" t="s">
        <v>44</v>
      </c>
      <c r="M65" s="9"/>
      <c r="N65" s="9">
        <v>0</v>
      </c>
      <c r="O65" s="9" t="s">
        <v>113</v>
      </c>
      <c r="P65" s="9" t="s">
        <v>210</v>
      </c>
      <c r="Q65" s="21">
        <v>15.62</v>
      </c>
      <c r="R65" s="10">
        <v>45738</v>
      </c>
      <c r="S65" s="8">
        <v>45742</v>
      </c>
      <c r="T65" s="9" t="s">
        <v>248</v>
      </c>
      <c r="U65" s="12"/>
    </row>
    <row r="66" spans="1:21">
      <c r="A66" s="7">
        <v>64</v>
      </c>
      <c r="B66" s="8">
        <v>45346</v>
      </c>
      <c r="C66" s="9" t="s">
        <v>22</v>
      </c>
      <c r="D66" s="9" t="s">
        <v>26</v>
      </c>
      <c r="E66" s="9">
        <v>16</v>
      </c>
      <c r="F66" s="9">
        <v>47.25</v>
      </c>
      <c r="G66" s="9" t="s">
        <v>34</v>
      </c>
      <c r="H66" s="9" t="s">
        <v>36</v>
      </c>
      <c r="I66" s="23">
        <v>0.15</v>
      </c>
      <c r="J66" s="9" t="s">
        <v>42</v>
      </c>
      <c r="K66" s="9">
        <v>642.6</v>
      </c>
      <c r="L66" s="9" t="s">
        <v>46</v>
      </c>
      <c r="M66" s="9" t="s">
        <v>48</v>
      </c>
      <c r="N66" s="9">
        <v>0</v>
      </c>
      <c r="O66" s="9" t="s">
        <v>114</v>
      </c>
      <c r="P66" s="9" t="s">
        <v>211</v>
      </c>
      <c r="Q66" s="21">
        <v>29.5</v>
      </c>
      <c r="R66" s="10">
        <v>45346</v>
      </c>
      <c r="S66" s="8">
        <v>45349</v>
      </c>
      <c r="T66" s="9" t="s">
        <v>248</v>
      </c>
      <c r="U66" s="12"/>
    </row>
    <row r="67" spans="1:21">
      <c r="A67" s="7">
        <v>65</v>
      </c>
      <c r="B67" s="8">
        <v>45269</v>
      </c>
      <c r="C67" s="9" t="s">
        <v>20</v>
      </c>
      <c r="D67" s="9" t="s">
        <v>27</v>
      </c>
      <c r="E67" s="9">
        <v>15</v>
      </c>
      <c r="F67" s="9">
        <v>511.17</v>
      </c>
      <c r="G67" s="9" t="s">
        <v>31</v>
      </c>
      <c r="H67" s="9" t="s">
        <v>35</v>
      </c>
      <c r="I67" s="23">
        <v>0</v>
      </c>
      <c r="J67" s="9" t="s">
        <v>39</v>
      </c>
      <c r="K67" s="9">
        <v>7667.55</v>
      </c>
      <c r="L67" s="9" t="s">
        <v>43</v>
      </c>
      <c r="M67" s="9" t="s">
        <v>48</v>
      </c>
      <c r="N67" s="9">
        <v>0</v>
      </c>
      <c r="O67" s="9" t="s">
        <v>115</v>
      </c>
      <c r="P67" s="9" t="s">
        <v>212</v>
      </c>
      <c r="Q67" s="21">
        <v>21.77</v>
      </c>
      <c r="R67" s="10">
        <v>45269</v>
      </c>
      <c r="S67" s="8">
        <v>45272</v>
      </c>
      <c r="T67" s="9" t="s">
        <v>246</v>
      </c>
      <c r="U67" s="12"/>
    </row>
    <row r="68" spans="1:21">
      <c r="A68" s="7">
        <v>66</v>
      </c>
      <c r="B68" s="8">
        <v>45200</v>
      </c>
      <c r="C68" s="9" t="s">
        <v>22</v>
      </c>
      <c r="D68" s="9" t="s">
        <v>28</v>
      </c>
      <c r="E68" s="9">
        <v>3</v>
      </c>
      <c r="F68" s="9">
        <v>66.58</v>
      </c>
      <c r="G68" s="9" t="s">
        <v>31</v>
      </c>
      <c r="H68" s="9" t="s">
        <v>36</v>
      </c>
      <c r="I68" s="23">
        <v>0.1</v>
      </c>
      <c r="J68" s="9" t="s">
        <v>39</v>
      </c>
      <c r="K68" s="9">
        <v>179.76599999999999</v>
      </c>
      <c r="L68" s="9" t="s">
        <v>46</v>
      </c>
      <c r="M68" s="9" t="s">
        <v>48</v>
      </c>
      <c r="N68" s="9">
        <v>0</v>
      </c>
      <c r="O68" s="9" t="s">
        <v>116</v>
      </c>
      <c r="P68" s="9" t="s">
        <v>213</v>
      </c>
      <c r="Q68" s="21">
        <v>22.43</v>
      </c>
      <c r="R68" s="10">
        <v>45200</v>
      </c>
      <c r="S68" s="8">
        <v>45204</v>
      </c>
      <c r="T68" s="9" t="s">
        <v>248</v>
      </c>
      <c r="U68" s="12"/>
    </row>
    <row r="69" spans="1:21">
      <c r="A69" s="7">
        <v>67</v>
      </c>
      <c r="B69" s="8">
        <v>45138</v>
      </c>
      <c r="C69" s="9" t="s">
        <v>23</v>
      </c>
      <c r="D69" s="9" t="s">
        <v>29</v>
      </c>
      <c r="E69" s="9">
        <v>5</v>
      </c>
      <c r="F69" s="9">
        <v>490.52</v>
      </c>
      <c r="G69" s="9" t="s">
        <v>34</v>
      </c>
      <c r="H69" s="9" t="s">
        <v>35</v>
      </c>
      <c r="I69" s="23">
        <v>0.05</v>
      </c>
      <c r="J69" s="9" t="s">
        <v>39</v>
      </c>
      <c r="K69" s="9">
        <v>2329.9699999999998</v>
      </c>
      <c r="L69" s="9" t="s">
        <v>43</v>
      </c>
      <c r="M69" s="9"/>
      <c r="N69" s="9">
        <v>0</v>
      </c>
      <c r="O69" s="9" t="s">
        <v>117</v>
      </c>
      <c r="P69" s="9" t="s">
        <v>214</v>
      </c>
      <c r="Q69" s="21">
        <v>12.24</v>
      </c>
      <c r="R69" s="10">
        <v>45138</v>
      </c>
      <c r="S69" s="8">
        <v>45145</v>
      </c>
      <c r="T69" s="9" t="s">
        <v>249</v>
      </c>
      <c r="U69" s="12"/>
    </row>
    <row r="70" spans="1:21">
      <c r="A70" s="7">
        <v>68</v>
      </c>
      <c r="B70" s="8">
        <v>45650</v>
      </c>
      <c r="C70" s="9" t="s">
        <v>20</v>
      </c>
      <c r="D70" s="9" t="s">
        <v>27</v>
      </c>
      <c r="E70" s="9">
        <v>8</v>
      </c>
      <c r="F70" s="9">
        <v>405.96</v>
      </c>
      <c r="G70" s="9" t="s">
        <v>32</v>
      </c>
      <c r="H70" s="9" t="s">
        <v>35</v>
      </c>
      <c r="I70" s="23">
        <v>0.05</v>
      </c>
      <c r="J70" s="9" t="s">
        <v>40</v>
      </c>
      <c r="K70" s="9">
        <v>3085.2959999999998</v>
      </c>
      <c r="L70" s="9" t="s">
        <v>45</v>
      </c>
      <c r="M70" s="9" t="s">
        <v>50</v>
      </c>
      <c r="N70" s="9">
        <v>0</v>
      </c>
      <c r="O70" s="9" t="s">
        <v>118</v>
      </c>
      <c r="P70" s="9" t="s">
        <v>215</v>
      </c>
      <c r="Q70" s="21">
        <v>41.27</v>
      </c>
      <c r="R70" s="10">
        <v>45650</v>
      </c>
      <c r="S70" s="8">
        <v>45657</v>
      </c>
      <c r="T70" s="9" t="s">
        <v>246</v>
      </c>
      <c r="U70" s="12"/>
    </row>
    <row r="71" spans="1:21">
      <c r="A71" s="7">
        <v>69</v>
      </c>
      <c r="B71" s="8">
        <v>45611</v>
      </c>
      <c r="C71" s="9" t="s">
        <v>21</v>
      </c>
      <c r="D71" s="9" t="s">
        <v>25</v>
      </c>
      <c r="E71" s="9">
        <v>1</v>
      </c>
      <c r="F71" s="9">
        <v>159.41</v>
      </c>
      <c r="G71" s="9" t="s">
        <v>31</v>
      </c>
      <c r="H71" s="9" t="s">
        <v>36</v>
      </c>
      <c r="I71" s="23">
        <v>0.1</v>
      </c>
      <c r="J71" s="9" t="s">
        <v>42</v>
      </c>
      <c r="K71" s="9">
        <v>143.46899999999999</v>
      </c>
      <c r="L71" s="9" t="s">
        <v>45</v>
      </c>
      <c r="M71" s="9" t="s">
        <v>48</v>
      </c>
      <c r="N71" s="9">
        <v>0</v>
      </c>
      <c r="O71" s="9" t="s">
        <v>119</v>
      </c>
      <c r="P71" s="9" t="s">
        <v>216</v>
      </c>
      <c r="Q71" s="21">
        <v>35.14</v>
      </c>
      <c r="R71" s="10">
        <v>45611</v>
      </c>
      <c r="S71" s="8">
        <v>45615</v>
      </c>
      <c r="T71" s="9" t="s">
        <v>247</v>
      </c>
      <c r="U71" s="12"/>
    </row>
    <row r="72" spans="1:21">
      <c r="A72" s="7">
        <v>70</v>
      </c>
      <c r="B72" s="8">
        <v>45729</v>
      </c>
      <c r="C72" s="9" t="s">
        <v>23</v>
      </c>
      <c r="D72" s="9" t="s">
        <v>28</v>
      </c>
      <c r="E72" s="9">
        <v>16</v>
      </c>
      <c r="F72" s="9">
        <v>38.49</v>
      </c>
      <c r="G72" s="9" t="s">
        <v>33</v>
      </c>
      <c r="H72" s="9" t="s">
        <v>36</v>
      </c>
      <c r="I72" s="23">
        <v>0.15</v>
      </c>
      <c r="J72" s="9" t="s">
        <v>40</v>
      </c>
      <c r="K72" s="9">
        <v>523.46400000000006</v>
      </c>
      <c r="L72" s="9" t="s">
        <v>46</v>
      </c>
      <c r="M72" s="9" t="s">
        <v>49</v>
      </c>
      <c r="N72" s="9">
        <v>0</v>
      </c>
      <c r="O72" s="9" t="s">
        <v>120</v>
      </c>
      <c r="P72" s="9" t="s">
        <v>217</v>
      </c>
      <c r="Q72" s="21">
        <v>8.3800000000000008</v>
      </c>
      <c r="R72" s="10">
        <v>45729</v>
      </c>
      <c r="S72" s="8">
        <v>45738</v>
      </c>
      <c r="T72" s="9" t="s">
        <v>249</v>
      </c>
      <c r="U72" s="12"/>
    </row>
    <row r="73" spans="1:21">
      <c r="A73" s="7">
        <v>71</v>
      </c>
      <c r="B73" s="8">
        <v>45354</v>
      </c>
      <c r="C73" s="9" t="s">
        <v>19</v>
      </c>
      <c r="D73" s="9" t="s">
        <v>29</v>
      </c>
      <c r="E73" s="9">
        <v>15</v>
      </c>
      <c r="F73" s="9">
        <v>328.36</v>
      </c>
      <c r="G73" s="9" t="s">
        <v>34</v>
      </c>
      <c r="H73" s="9" t="s">
        <v>36</v>
      </c>
      <c r="I73" s="23">
        <v>0.15</v>
      </c>
      <c r="J73" s="9" t="s">
        <v>38</v>
      </c>
      <c r="K73" s="9">
        <v>4186.59</v>
      </c>
      <c r="L73" s="9" t="s">
        <v>44</v>
      </c>
      <c r="M73" s="9" t="s">
        <v>50</v>
      </c>
      <c r="N73" s="9">
        <v>0</v>
      </c>
      <c r="O73" s="9" t="s">
        <v>121</v>
      </c>
      <c r="P73" s="9" t="s">
        <v>218</v>
      </c>
      <c r="Q73" s="21">
        <v>15.76</v>
      </c>
      <c r="R73" s="10">
        <v>45354</v>
      </c>
      <c r="S73" s="8">
        <v>45363</v>
      </c>
      <c r="T73" s="9" t="s">
        <v>245</v>
      </c>
      <c r="U73" s="12"/>
    </row>
    <row r="74" spans="1:21">
      <c r="A74" s="7">
        <v>72</v>
      </c>
      <c r="B74" s="8">
        <v>44968</v>
      </c>
      <c r="C74" s="9" t="s">
        <v>22</v>
      </c>
      <c r="D74" s="9" t="s">
        <v>29</v>
      </c>
      <c r="E74" s="9">
        <v>20</v>
      </c>
      <c r="F74" s="9">
        <v>548.01</v>
      </c>
      <c r="G74" s="9" t="s">
        <v>32</v>
      </c>
      <c r="H74" s="9" t="s">
        <v>35</v>
      </c>
      <c r="I74" s="23">
        <v>0.1</v>
      </c>
      <c r="J74" s="9" t="s">
        <v>37</v>
      </c>
      <c r="K74" s="9">
        <v>9864.18</v>
      </c>
      <c r="L74" s="9" t="s">
        <v>45</v>
      </c>
      <c r="M74" s="9" t="s">
        <v>50</v>
      </c>
      <c r="N74" s="9">
        <v>1</v>
      </c>
      <c r="O74" s="9" t="s">
        <v>122</v>
      </c>
      <c r="P74" s="9" t="s">
        <v>219</v>
      </c>
      <c r="Q74" s="21">
        <v>5.89</v>
      </c>
      <c r="R74" s="10">
        <v>44968</v>
      </c>
      <c r="S74" s="8">
        <v>44971</v>
      </c>
      <c r="T74" s="9" t="s">
        <v>248</v>
      </c>
      <c r="U74" s="12"/>
    </row>
    <row r="75" spans="1:21">
      <c r="A75" s="7">
        <v>73</v>
      </c>
      <c r="B75" s="8">
        <v>45225</v>
      </c>
      <c r="C75" s="9" t="s">
        <v>20</v>
      </c>
      <c r="D75" s="9" t="s">
        <v>26</v>
      </c>
      <c r="E75" s="9">
        <v>13</v>
      </c>
      <c r="F75" s="9">
        <v>484.45</v>
      </c>
      <c r="G75" s="9" t="s">
        <v>31</v>
      </c>
      <c r="H75" s="9" t="s">
        <v>35</v>
      </c>
      <c r="I75" s="23">
        <v>0.05</v>
      </c>
      <c r="J75" s="9" t="s">
        <v>40</v>
      </c>
      <c r="K75" s="9">
        <v>5982.9575000000004</v>
      </c>
      <c r="L75" s="9" t="s">
        <v>44</v>
      </c>
      <c r="M75" s="9" t="s">
        <v>50</v>
      </c>
      <c r="N75" s="9">
        <v>1</v>
      </c>
      <c r="O75" s="9" t="s">
        <v>123</v>
      </c>
      <c r="P75" s="9" t="s">
        <v>220</v>
      </c>
      <c r="Q75" s="21">
        <v>6.57</v>
      </c>
      <c r="R75" s="10">
        <v>45225</v>
      </c>
      <c r="S75" s="8">
        <v>45235</v>
      </c>
      <c r="T75" s="9" t="s">
        <v>246</v>
      </c>
      <c r="U75" s="12"/>
    </row>
    <row r="76" spans="1:21">
      <c r="A76" s="7">
        <v>74</v>
      </c>
      <c r="B76" s="8">
        <v>45220</v>
      </c>
      <c r="C76" s="9" t="s">
        <v>20</v>
      </c>
      <c r="D76" s="9" t="s">
        <v>28</v>
      </c>
      <c r="E76" s="9">
        <v>13</v>
      </c>
      <c r="F76" s="9">
        <v>195.84</v>
      </c>
      <c r="G76" s="9" t="s">
        <v>32</v>
      </c>
      <c r="H76" s="9" t="s">
        <v>35</v>
      </c>
      <c r="I76" s="23">
        <v>0.05</v>
      </c>
      <c r="J76" s="9" t="s">
        <v>38</v>
      </c>
      <c r="K76" s="9">
        <v>2418.6239999999998</v>
      </c>
      <c r="L76" s="9" t="s">
        <v>45</v>
      </c>
      <c r="M76" s="9"/>
      <c r="N76" s="9">
        <v>0</v>
      </c>
      <c r="O76" s="9" t="s">
        <v>124</v>
      </c>
      <c r="P76" s="9" t="s">
        <v>221</v>
      </c>
      <c r="Q76" s="21">
        <v>33.520000000000003</v>
      </c>
      <c r="R76" s="10">
        <v>45220</v>
      </c>
      <c r="S76" s="8">
        <v>45227</v>
      </c>
      <c r="T76" s="9" t="s">
        <v>246</v>
      </c>
      <c r="U76" s="12"/>
    </row>
    <row r="77" spans="1:21">
      <c r="A77" s="7">
        <v>75</v>
      </c>
      <c r="B77" s="8">
        <v>45305</v>
      </c>
      <c r="C77" s="9" t="s">
        <v>22</v>
      </c>
      <c r="D77" s="9" t="s">
        <v>29</v>
      </c>
      <c r="E77" s="9">
        <v>19</v>
      </c>
      <c r="F77" s="9">
        <v>29.94</v>
      </c>
      <c r="G77" s="9" t="s">
        <v>34</v>
      </c>
      <c r="H77" s="9" t="s">
        <v>36</v>
      </c>
      <c r="I77" s="23">
        <v>0.15</v>
      </c>
      <c r="J77" s="9" t="s">
        <v>41</v>
      </c>
      <c r="K77" s="9">
        <v>483.53100000000001</v>
      </c>
      <c r="L77" s="9" t="s">
        <v>46</v>
      </c>
      <c r="M77" s="9" t="s">
        <v>48</v>
      </c>
      <c r="N77" s="9">
        <v>0</v>
      </c>
      <c r="O77" s="9" t="s">
        <v>125</v>
      </c>
      <c r="P77" s="9" t="s">
        <v>222</v>
      </c>
      <c r="Q77" s="21">
        <v>33.590000000000003</v>
      </c>
      <c r="R77" s="10">
        <v>45305</v>
      </c>
      <c r="S77" s="8">
        <v>45311</v>
      </c>
      <c r="T77" s="9" t="s">
        <v>248</v>
      </c>
      <c r="U77" s="12"/>
    </row>
    <row r="78" spans="1:21">
      <c r="A78" s="7">
        <v>76</v>
      </c>
      <c r="B78" s="8">
        <v>45134</v>
      </c>
      <c r="C78" s="9" t="s">
        <v>22</v>
      </c>
      <c r="D78" s="9" t="s">
        <v>26</v>
      </c>
      <c r="E78" s="9">
        <v>10</v>
      </c>
      <c r="F78" s="9">
        <v>553.91</v>
      </c>
      <c r="G78" s="9" t="s">
        <v>34</v>
      </c>
      <c r="H78" s="9" t="s">
        <v>35</v>
      </c>
      <c r="I78" s="23">
        <v>0.1</v>
      </c>
      <c r="J78" s="9" t="s">
        <v>37</v>
      </c>
      <c r="K78" s="9">
        <v>4985.1899999999996</v>
      </c>
      <c r="L78" s="9" t="s">
        <v>43</v>
      </c>
      <c r="M78" s="9"/>
      <c r="N78" s="9">
        <v>0</v>
      </c>
      <c r="O78" s="9" t="s">
        <v>126</v>
      </c>
      <c r="P78" s="9" t="s">
        <v>223</v>
      </c>
      <c r="Q78" s="21">
        <v>31.3</v>
      </c>
      <c r="R78" s="10">
        <v>45134</v>
      </c>
      <c r="S78" s="8">
        <v>45138</v>
      </c>
      <c r="T78" s="9" t="s">
        <v>248</v>
      </c>
      <c r="U78" s="12"/>
    </row>
    <row r="79" spans="1:21">
      <c r="A79" s="7">
        <v>77</v>
      </c>
      <c r="B79" s="8">
        <v>45588</v>
      </c>
      <c r="C79" s="9" t="s">
        <v>20</v>
      </c>
      <c r="D79" s="9" t="s">
        <v>25</v>
      </c>
      <c r="E79" s="9">
        <v>14</v>
      </c>
      <c r="F79" s="9">
        <v>445.52</v>
      </c>
      <c r="G79" s="9" t="s">
        <v>31</v>
      </c>
      <c r="H79" s="9" t="s">
        <v>36</v>
      </c>
      <c r="I79" s="23">
        <v>0.1</v>
      </c>
      <c r="J79" s="9" t="s">
        <v>42</v>
      </c>
      <c r="K79" s="9">
        <v>5613.5519999999997</v>
      </c>
      <c r="L79" s="9" t="s">
        <v>43</v>
      </c>
      <c r="M79" s="9" t="s">
        <v>49</v>
      </c>
      <c r="N79" s="9">
        <v>0</v>
      </c>
      <c r="O79" s="9" t="s">
        <v>127</v>
      </c>
      <c r="P79" s="9" t="s">
        <v>224</v>
      </c>
      <c r="Q79" s="21">
        <v>14.41</v>
      </c>
      <c r="R79" s="10">
        <v>45588</v>
      </c>
      <c r="S79" s="8">
        <v>45590</v>
      </c>
      <c r="T79" s="9" t="s">
        <v>246</v>
      </c>
      <c r="U79" s="12"/>
    </row>
    <row r="80" spans="1:21">
      <c r="A80" s="7">
        <v>78</v>
      </c>
      <c r="B80" s="8">
        <v>45195</v>
      </c>
      <c r="C80" s="9" t="s">
        <v>20</v>
      </c>
      <c r="D80" s="9" t="s">
        <v>27</v>
      </c>
      <c r="E80" s="9">
        <v>5</v>
      </c>
      <c r="F80" s="9">
        <v>551.58000000000004</v>
      </c>
      <c r="G80" s="9" t="s">
        <v>31</v>
      </c>
      <c r="H80" s="9" t="s">
        <v>36</v>
      </c>
      <c r="I80" s="23">
        <v>0.15</v>
      </c>
      <c r="J80" s="9" t="s">
        <v>38</v>
      </c>
      <c r="K80" s="9">
        <v>2344.2150000000001</v>
      </c>
      <c r="L80" s="9" t="s">
        <v>43</v>
      </c>
      <c r="M80" s="9" t="s">
        <v>50</v>
      </c>
      <c r="N80" s="9">
        <v>1</v>
      </c>
      <c r="O80" s="9" t="s">
        <v>128</v>
      </c>
      <c r="P80" s="9" t="s">
        <v>225</v>
      </c>
      <c r="Q80" s="21">
        <v>7.87</v>
      </c>
      <c r="R80" s="10">
        <v>45195</v>
      </c>
      <c r="S80" s="8">
        <v>45200</v>
      </c>
      <c r="T80" s="9" t="s">
        <v>246</v>
      </c>
      <c r="U80" s="12"/>
    </row>
    <row r="81" spans="1:21" ht="17.399999999999999" customHeight="1">
      <c r="A81" s="7">
        <v>79</v>
      </c>
      <c r="B81" s="8">
        <v>45276</v>
      </c>
      <c r="C81" s="9" t="s">
        <v>19</v>
      </c>
      <c r="D81" s="9" t="s">
        <v>25</v>
      </c>
      <c r="E81" s="9">
        <v>13</v>
      </c>
      <c r="F81" s="9">
        <v>241.4</v>
      </c>
      <c r="G81" s="9" t="s">
        <v>34</v>
      </c>
      <c r="H81" s="9" t="s">
        <v>36</v>
      </c>
      <c r="I81" s="23">
        <v>0</v>
      </c>
      <c r="J81" s="9" t="s">
        <v>40</v>
      </c>
      <c r="K81" s="9">
        <v>3138.2</v>
      </c>
      <c r="L81" s="9" t="s">
        <v>44</v>
      </c>
      <c r="M81" s="9" t="s">
        <v>49</v>
      </c>
      <c r="N81" s="9">
        <v>0</v>
      </c>
      <c r="O81" s="9" t="s">
        <v>129</v>
      </c>
      <c r="P81" s="9" t="s">
        <v>226</v>
      </c>
      <c r="Q81" s="21">
        <v>49.05</v>
      </c>
      <c r="R81" s="10">
        <v>45276</v>
      </c>
      <c r="S81" s="8">
        <v>45280</v>
      </c>
      <c r="T81" s="9" t="s">
        <v>245</v>
      </c>
      <c r="U81" s="12"/>
    </row>
    <row r="82" spans="1:21">
      <c r="A82" s="7">
        <v>80</v>
      </c>
      <c r="B82" s="8">
        <v>45293</v>
      </c>
      <c r="C82" s="9" t="s">
        <v>22</v>
      </c>
      <c r="D82" s="9" t="s">
        <v>30</v>
      </c>
      <c r="E82" s="9">
        <v>19</v>
      </c>
      <c r="F82" s="9">
        <v>351.93</v>
      </c>
      <c r="G82" s="9" t="s">
        <v>32</v>
      </c>
      <c r="H82" s="9" t="s">
        <v>35</v>
      </c>
      <c r="I82" s="23">
        <v>0</v>
      </c>
      <c r="J82" s="9" t="s">
        <v>38</v>
      </c>
      <c r="K82" s="9">
        <v>6686.67</v>
      </c>
      <c r="L82" s="9" t="s">
        <v>45</v>
      </c>
      <c r="M82" s="9"/>
      <c r="N82" s="9">
        <v>0</v>
      </c>
      <c r="O82" s="9" t="s">
        <v>130</v>
      </c>
      <c r="P82" s="9" t="s">
        <v>227</v>
      </c>
      <c r="Q82" s="21">
        <v>39.979999999999997</v>
      </c>
      <c r="R82" s="10">
        <v>45293</v>
      </c>
      <c r="S82" s="8">
        <v>45296</v>
      </c>
      <c r="T82" s="9" t="s">
        <v>248</v>
      </c>
      <c r="U82" s="12"/>
    </row>
    <row r="83" spans="1:21">
      <c r="A83" s="7">
        <v>81</v>
      </c>
      <c r="B83" s="8">
        <v>45338</v>
      </c>
      <c r="C83" s="9" t="s">
        <v>21</v>
      </c>
      <c r="D83" s="9" t="s">
        <v>25</v>
      </c>
      <c r="E83" s="9">
        <v>4</v>
      </c>
      <c r="F83" s="9">
        <v>83.75</v>
      </c>
      <c r="G83" s="9" t="s">
        <v>32</v>
      </c>
      <c r="H83" s="9" t="s">
        <v>36</v>
      </c>
      <c r="I83" s="23">
        <v>0.05</v>
      </c>
      <c r="J83" s="9" t="s">
        <v>38</v>
      </c>
      <c r="K83" s="9">
        <v>318.25</v>
      </c>
      <c r="L83" s="9" t="s">
        <v>46</v>
      </c>
      <c r="M83" s="9" t="s">
        <v>49</v>
      </c>
      <c r="N83" s="9">
        <v>1</v>
      </c>
      <c r="O83" s="9" t="s">
        <v>131</v>
      </c>
      <c r="P83" s="9" t="s">
        <v>228</v>
      </c>
      <c r="Q83" s="21">
        <v>38.82</v>
      </c>
      <c r="R83" s="10">
        <v>45338</v>
      </c>
      <c r="S83" s="8">
        <v>45347</v>
      </c>
      <c r="T83" s="9" t="s">
        <v>247</v>
      </c>
      <c r="U83" s="12"/>
    </row>
    <row r="84" spans="1:21">
      <c r="A84" s="7">
        <v>82</v>
      </c>
      <c r="B84" s="8">
        <v>45415</v>
      </c>
      <c r="C84" s="9" t="s">
        <v>19</v>
      </c>
      <c r="D84" s="9" t="s">
        <v>28</v>
      </c>
      <c r="E84" s="9">
        <v>5</v>
      </c>
      <c r="F84" s="9">
        <v>416.95</v>
      </c>
      <c r="G84" s="9" t="s">
        <v>32</v>
      </c>
      <c r="H84" s="9" t="s">
        <v>35</v>
      </c>
      <c r="I84" s="23">
        <v>0.15</v>
      </c>
      <c r="J84" s="9" t="s">
        <v>39</v>
      </c>
      <c r="K84" s="9">
        <v>1772.0374999999999</v>
      </c>
      <c r="L84" s="9" t="s">
        <v>43</v>
      </c>
      <c r="M84" s="9"/>
      <c r="N84" s="9">
        <v>1</v>
      </c>
      <c r="O84" s="9" t="s">
        <v>132</v>
      </c>
      <c r="P84" s="9" t="s">
        <v>229</v>
      </c>
      <c r="Q84" s="21">
        <v>24.03</v>
      </c>
      <c r="R84" s="10">
        <v>45415</v>
      </c>
      <c r="S84" s="8">
        <v>45424</v>
      </c>
      <c r="T84" s="9" t="s">
        <v>245</v>
      </c>
      <c r="U84" s="12"/>
    </row>
    <row r="85" spans="1:21">
      <c r="A85" s="7">
        <v>83</v>
      </c>
      <c r="B85" s="8">
        <v>45073</v>
      </c>
      <c r="C85" s="9" t="s">
        <v>23</v>
      </c>
      <c r="D85" s="9" t="s">
        <v>28</v>
      </c>
      <c r="E85" s="9">
        <v>18</v>
      </c>
      <c r="F85" s="9">
        <v>142.43</v>
      </c>
      <c r="G85" s="9" t="s">
        <v>33</v>
      </c>
      <c r="H85" s="9" t="s">
        <v>36</v>
      </c>
      <c r="I85" s="23">
        <v>0.05</v>
      </c>
      <c r="J85" s="9" t="s">
        <v>42</v>
      </c>
      <c r="K85" s="9">
        <v>2435.5529999999999</v>
      </c>
      <c r="L85" s="9" t="s">
        <v>45</v>
      </c>
      <c r="M85" s="9" t="s">
        <v>49</v>
      </c>
      <c r="N85" s="9">
        <v>1</v>
      </c>
      <c r="O85" s="9" t="s">
        <v>133</v>
      </c>
      <c r="P85" s="9" t="s">
        <v>230</v>
      </c>
      <c r="Q85" s="21">
        <v>12.38</v>
      </c>
      <c r="R85" s="10">
        <v>45073</v>
      </c>
      <c r="S85" s="8">
        <v>45079</v>
      </c>
      <c r="T85" s="9" t="s">
        <v>249</v>
      </c>
      <c r="U85" s="12"/>
    </row>
    <row r="86" spans="1:21">
      <c r="A86" s="7">
        <v>84</v>
      </c>
      <c r="B86" s="8">
        <v>44931</v>
      </c>
      <c r="C86" s="9" t="s">
        <v>19</v>
      </c>
      <c r="D86" s="9" t="s">
        <v>26</v>
      </c>
      <c r="E86" s="9">
        <v>12</v>
      </c>
      <c r="F86" s="9">
        <v>582.52</v>
      </c>
      <c r="G86" s="9" t="s">
        <v>32</v>
      </c>
      <c r="H86" s="9" t="s">
        <v>35</v>
      </c>
      <c r="I86" s="23">
        <v>0</v>
      </c>
      <c r="J86" s="9" t="s">
        <v>42</v>
      </c>
      <c r="K86" s="9">
        <v>6990.24</v>
      </c>
      <c r="L86" s="9" t="s">
        <v>45</v>
      </c>
      <c r="M86" s="9" t="s">
        <v>48</v>
      </c>
      <c r="N86" s="9">
        <v>0</v>
      </c>
      <c r="O86" s="9" t="s">
        <v>134</v>
      </c>
      <c r="P86" s="9" t="s">
        <v>231</v>
      </c>
      <c r="Q86" s="21">
        <v>41.16</v>
      </c>
      <c r="R86" s="10">
        <v>44931</v>
      </c>
      <c r="S86" s="8">
        <v>44937</v>
      </c>
      <c r="T86" s="9" t="s">
        <v>245</v>
      </c>
      <c r="U86" s="12"/>
    </row>
    <row r="87" spans="1:21">
      <c r="A87" s="7">
        <v>85</v>
      </c>
      <c r="B87" s="8">
        <v>45798</v>
      </c>
      <c r="C87" s="9" t="s">
        <v>19</v>
      </c>
      <c r="D87" s="9" t="s">
        <v>27</v>
      </c>
      <c r="E87" s="9">
        <v>20</v>
      </c>
      <c r="F87" s="9">
        <v>129.56</v>
      </c>
      <c r="G87" s="9" t="s">
        <v>32</v>
      </c>
      <c r="H87" s="9" t="s">
        <v>36</v>
      </c>
      <c r="I87" s="23">
        <v>0.15</v>
      </c>
      <c r="J87" s="9" t="s">
        <v>41</v>
      </c>
      <c r="K87" s="9">
        <v>2202.52</v>
      </c>
      <c r="L87" s="9" t="s">
        <v>43</v>
      </c>
      <c r="M87" s="9" t="s">
        <v>50</v>
      </c>
      <c r="N87" s="9">
        <v>0</v>
      </c>
      <c r="O87" s="9" t="s">
        <v>135</v>
      </c>
      <c r="P87" s="9" t="s">
        <v>232</v>
      </c>
      <c r="Q87" s="21">
        <v>40.21</v>
      </c>
      <c r="R87" s="10">
        <v>45798</v>
      </c>
      <c r="S87" s="8">
        <v>45800</v>
      </c>
      <c r="T87" s="9" t="s">
        <v>245</v>
      </c>
      <c r="U87" s="12"/>
    </row>
    <row r="88" spans="1:21">
      <c r="A88" s="7">
        <v>86</v>
      </c>
      <c r="B88" s="8">
        <v>45128</v>
      </c>
      <c r="C88" s="9" t="s">
        <v>22</v>
      </c>
      <c r="D88" s="9" t="s">
        <v>29</v>
      </c>
      <c r="E88" s="9">
        <v>17</v>
      </c>
      <c r="F88" s="9">
        <v>431.82</v>
      </c>
      <c r="G88" s="9" t="s">
        <v>31</v>
      </c>
      <c r="H88" s="9" t="s">
        <v>36</v>
      </c>
      <c r="I88" s="23">
        <v>0</v>
      </c>
      <c r="J88" s="9" t="s">
        <v>37</v>
      </c>
      <c r="K88" s="9">
        <v>7340.94</v>
      </c>
      <c r="L88" s="9" t="s">
        <v>44</v>
      </c>
      <c r="M88" s="9" t="s">
        <v>48</v>
      </c>
      <c r="N88" s="9">
        <v>1</v>
      </c>
      <c r="O88" s="9" t="s">
        <v>136</v>
      </c>
      <c r="P88" s="9" t="s">
        <v>233</v>
      </c>
      <c r="Q88" s="21">
        <v>37.75</v>
      </c>
      <c r="R88" s="10">
        <v>45128</v>
      </c>
      <c r="S88" s="8">
        <v>45132</v>
      </c>
      <c r="T88" s="9" t="s">
        <v>248</v>
      </c>
      <c r="U88" s="12"/>
    </row>
    <row r="89" spans="1:21">
      <c r="A89" s="7">
        <v>87</v>
      </c>
      <c r="B89" s="8">
        <v>45802</v>
      </c>
      <c r="C89" s="9" t="s">
        <v>19</v>
      </c>
      <c r="D89" s="9" t="s">
        <v>24</v>
      </c>
      <c r="E89" s="9">
        <v>15</v>
      </c>
      <c r="F89" s="9">
        <v>15.85</v>
      </c>
      <c r="G89" s="9" t="s">
        <v>33</v>
      </c>
      <c r="H89" s="9" t="s">
        <v>36</v>
      </c>
      <c r="I89" s="23">
        <v>0</v>
      </c>
      <c r="J89" s="9" t="s">
        <v>42</v>
      </c>
      <c r="K89" s="9">
        <v>237.75</v>
      </c>
      <c r="L89" s="9" t="s">
        <v>46</v>
      </c>
      <c r="M89" s="9" t="s">
        <v>50</v>
      </c>
      <c r="N89" s="9">
        <v>0</v>
      </c>
      <c r="O89" s="9" t="s">
        <v>137</v>
      </c>
      <c r="P89" s="9" t="s">
        <v>234</v>
      </c>
      <c r="Q89" s="21">
        <v>23.49</v>
      </c>
      <c r="R89" s="10">
        <v>45802</v>
      </c>
      <c r="S89" s="8">
        <v>45811</v>
      </c>
      <c r="T89" s="9" t="s">
        <v>245</v>
      </c>
      <c r="U89" s="12"/>
    </row>
    <row r="90" spans="1:21">
      <c r="A90" s="7">
        <v>88</v>
      </c>
      <c r="B90" s="8">
        <v>45612</v>
      </c>
      <c r="C90" s="9" t="s">
        <v>20</v>
      </c>
      <c r="D90" s="9" t="s">
        <v>29</v>
      </c>
      <c r="E90" s="9">
        <v>20</v>
      </c>
      <c r="F90" s="9">
        <v>548.34</v>
      </c>
      <c r="G90" s="9" t="s">
        <v>31</v>
      </c>
      <c r="H90" s="9" t="s">
        <v>36</v>
      </c>
      <c r="I90" s="23">
        <v>0.1</v>
      </c>
      <c r="J90" s="9" t="s">
        <v>42</v>
      </c>
      <c r="K90" s="9">
        <v>9870.1200000000008</v>
      </c>
      <c r="L90" s="9" t="s">
        <v>44</v>
      </c>
      <c r="M90" s="9" t="s">
        <v>50</v>
      </c>
      <c r="N90" s="9">
        <v>0</v>
      </c>
      <c r="O90" s="9" t="s">
        <v>138</v>
      </c>
      <c r="P90" s="9" t="s">
        <v>235</v>
      </c>
      <c r="Q90" s="21">
        <v>33.47</v>
      </c>
      <c r="R90" s="10">
        <v>45612</v>
      </c>
      <c r="S90" s="8">
        <v>45618</v>
      </c>
      <c r="T90" s="9" t="s">
        <v>246</v>
      </c>
      <c r="U90" s="12"/>
    </row>
    <row r="91" spans="1:21">
      <c r="A91" s="7">
        <v>89</v>
      </c>
      <c r="B91" s="8">
        <v>45249</v>
      </c>
      <c r="C91" s="9" t="s">
        <v>21</v>
      </c>
      <c r="D91" s="9" t="s">
        <v>24</v>
      </c>
      <c r="E91" s="9">
        <v>16</v>
      </c>
      <c r="F91" s="9">
        <v>525.83000000000004</v>
      </c>
      <c r="G91" s="9" t="s">
        <v>33</v>
      </c>
      <c r="H91" s="9" t="s">
        <v>35</v>
      </c>
      <c r="I91" s="23">
        <v>0.05</v>
      </c>
      <c r="J91" s="9" t="s">
        <v>39</v>
      </c>
      <c r="K91" s="9">
        <v>7992.616</v>
      </c>
      <c r="L91" s="9" t="s">
        <v>43</v>
      </c>
      <c r="M91" s="9"/>
      <c r="N91" s="9">
        <v>0</v>
      </c>
      <c r="O91" s="9" t="s">
        <v>139</v>
      </c>
      <c r="P91" s="9" t="s">
        <v>236</v>
      </c>
      <c r="Q91" s="21">
        <v>36.47</v>
      </c>
      <c r="R91" s="10">
        <v>45249</v>
      </c>
      <c r="S91" s="8">
        <v>45255</v>
      </c>
      <c r="T91" s="9" t="s">
        <v>247</v>
      </c>
      <c r="U91" s="12"/>
    </row>
    <row r="92" spans="1:21">
      <c r="A92" s="7">
        <v>90</v>
      </c>
      <c r="B92" s="8">
        <v>45669</v>
      </c>
      <c r="C92" s="9" t="s">
        <v>22</v>
      </c>
      <c r="D92" s="9" t="s">
        <v>24</v>
      </c>
      <c r="E92" s="9">
        <v>15</v>
      </c>
      <c r="F92" s="9">
        <v>411.38</v>
      </c>
      <c r="G92" s="9" t="s">
        <v>32</v>
      </c>
      <c r="H92" s="9" t="s">
        <v>35</v>
      </c>
      <c r="I92" s="23">
        <v>0.05</v>
      </c>
      <c r="J92" s="9" t="s">
        <v>42</v>
      </c>
      <c r="K92" s="9">
        <v>5862.165</v>
      </c>
      <c r="L92" s="9" t="s">
        <v>43</v>
      </c>
      <c r="M92" s="9" t="s">
        <v>49</v>
      </c>
      <c r="N92" s="9">
        <v>0</v>
      </c>
      <c r="O92" s="9" t="s">
        <v>140</v>
      </c>
      <c r="P92" s="9" t="s">
        <v>237</v>
      </c>
      <c r="Q92" s="21">
        <v>48.51</v>
      </c>
      <c r="R92" s="10">
        <v>45669</v>
      </c>
      <c r="S92" s="8">
        <v>45678</v>
      </c>
      <c r="T92" s="9" t="s">
        <v>248</v>
      </c>
      <c r="U92" s="12"/>
    </row>
    <row r="93" spans="1:21">
      <c r="A93" s="7">
        <v>91</v>
      </c>
      <c r="B93" s="8">
        <v>45014</v>
      </c>
      <c r="C93" s="9" t="s">
        <v>21</v>
      </c>
      <c r="D93" s="9" t="s">
        <v>28</v>
      </c>
      <c r="E93" s="9">
        <v>19</v>
      </c>
      <c r="F93" s="9">
        <v>559.95000000000005</v>
      </c>
      <c r="G93" s="9" t="s">
        <v>32</v>
      </c>
      <c r="H93" s="9" t="s">
        <v>35</v>
      </c>
      <c r="I93" s="23">
        <v>0.1</v>
      </c>
      <c r="J93" s="9" t="s">
        <v>40</v>
      </c>
      <c r="K93" s="9">
        <v>9575.1450000000004</v>
      </c>
      <c r="L93" s="9" t="s">
        <v>45</v>
      </c>
      <c r="M93" s="9" t="s">
        <v>50</v>
      </c>
      <c r="N93" s="9">
        <v>0</v>
      </c>
      <c r="O93" s="9" t="s">
        <v>141</v>
      </c>
      <c r="P93" s="9" t="s">
        <v>238</v>
      </c>
      <c r="Q93" s="21">
        <v>18.3</v>
      </c>
      <c r="R93" s="10">
        <v>45014</v>
      </c>
      <c r="S93" s="8">
        <v>45019</v>
      </c>
      <c r="T93" s="9" t="s">
        <v>247</v>
      </c>
      <c r="U93" s="12"/>
    </row>
    <row r="94" spans="1:21">
      <c r="A94" s="7">
        <v>92</v>
      </c>
      <c r="B94" s="8">
        <v>45717</v>
      </c>
      <c r="C94" s="9" t="s">
        <v>21</v>
      </c>
      <c r="D94" s="9" t="s">
        <v>26</v>
      </c>
      <c r="E94" s="9">
        <v>8</v>
      </c>
      <c r="F94" s="9">
        <v>179.9</v>
      </c>
      <c r="G94" s="9" t="s">
        <v>33</v>
      </c>
      <c r="H94" s="9" t="s">
        <v>36</v>
      </c>
      <c r="I94" s="23">
        <v>0.05</v>
      </c>
      <c r="J94" s="9" t="s">
        <v>40</v>
      </c>
      <c r="K94" s="9">
        <v>1367.24</v>
      </c>
      <c r="L94" s="9" t="s">
        <v>43</v>
      </c>
      <c r="M94" s="9" t="s">
        <v>49</v>
      </c>
      <c r="N94" s="9">
        <v>0</v>
      </c>
      <c r="O94" s="9" t="s">
        <v>142</v>
      </c>
      <c r="P94" s="9" t="s">
        <v>239</v>
      </c>
      <c r="Q94" s="21">
        <v>14.8</v>
      </c>
      <c r="R94" s="10">
        <v>45717</v>
      </c>
      <c r="S94" s="8">
        <v>45721</v>
      </c>
      <c r="T94" s="9" t="s">
        <v>247</v>
      </c>
      <c r="U94" s="12"/>
    </row>
    <row r="95" spans="1:21">
      <c r="A95" s="7">
        <v>93</v>
      </c>
      <c r="B95" s="8">
        <v>45217</v>
      </c>
      <c r="C95" s="9" t="s">
        <v>21</v>
      </c>
      <c r="D95" s="9" t="s">
        <v>27</v>
      </c>
      <c r="E95" s="9">
        <v>12</v>
      </c>
      <c r="F95" s="9">
        <v>494.15</v>
      </c>
      <c r="G95" s="9" t="s">
        <v>31</v>
      </c>
      <c r="H95" s="9" t="s">
        <v>35</v>
      </c>
      <c r="I95" s="23">
        <v>0.15</v>
      </c>
      <c r="J95" s="9" t="s">
        <v>41</v>
      </c>
      <c r="K95" s="9">
        <v>5040.329999999999</v>
      </c>
      <c r="L95" s="9" t="s">
        <v>43</v>
      </c>
      <c r="M95" s="9" t="s">
        <v>49</v>
      </c>
      <c r="N95" s="9">
        <v>1</v>
      </c>
      <c r="O95" s="9" t="s">
        <v>143</v>
      </c>
      <c r="P95" s="9" t="s">
        <v>240</v>
      </c>
      <c r="Q95" s="21">
        <v>18.05</v>
      </c>
      <c r="R95" s="10">
        <v>45217</v>
      </c>
      <c r="S95" s="8">
        <v>45219</v>
      </c>
      <c r="T95" s="9" t="s">
        <v>247</v>
      </c>
      <c r="U95" s="12"/>
    </row>
    <row r="96" spans="1:21">
      <c r="A96" s="7">
        <v>94</v>
      </c>
      <c r="B96" s="8">
        <v>45760</v>
      </c>
      <c r="C96" s="9" t="s">
        <v>19</v>
      </c>
      <c r="D96" s="9" t="s">
        <v>26</v>
      </c>
      <c r="E96" s="9">
        <v>10</v>
      </c>
      <c r="F96" s="9">
        <v>462.99</v>
      </c>
      <c r="G96" s="9" t="s">
        <v>33</v>
      </c>
      <c r="H96" s="9" t="s">
        <v>35</v>
      </c>
      <c r="I96" s="23">
        <v>0</v>
      </c>
      <c r="J96" s="9" t="s">
        <v>42</v>
      </c>
      <c r="K96" s="9">
        <v>4629.8999999999996</v>
      </c>
      <c r="L96" s="9" t="s">
        <v>45</v>
      </c>
      <c r="M96" s="9" t="s">
        <v>50</v>
      </c>
      <c r="N96" s="9">
        <v>0</v>
      </c>
      <c r="O96" s="9" t="s">
        <v>144</v>
      </c>
      <c r="P96" s="9" t="s">
        <v>241</v>
      </c>
      <c r="Q96" s="21">
        <v>5.01</v>
      </c>
      <c r="R96" s="10">
        <v>45760</v>
      </c>
      <c r="S96" s="8">
        <v>45762</v>
      </c>
      <c r="T96" s="9" t="s">
        <v>245</v>
      </c>
      <c r="U96" s="12"/>
    </row>
    <row r="97" spans="1:21">
      <c r="A97" s="7">
        <v>95</v>
      </c>
      <c r="B97" s="8">
        <v>45790</v>
      </c>
      <c r="C97" s="9" t="s">
        <v>22</v>
      </c>
      <c r="D97" s="9" t="s">
        <v>24</v>
      </c>
      <c r="E97" s="9">
        <v>7</v>
      </c>
      <c r="F97" s="9">
        <v>460.24</v>
      </c>
      <c r="G97" s="9" t="s">
        <v>32</v>
      </c>
      <c r="H97" s="9" t="s">
        <v>36</v>
      </c>
      <c r="I97" s="23">
        <v>0.05</v>
      </c>
      <c r="J97" s="9" t="s">
        <v>38</v>
      </c>
      <c r="K97" s="9">
        <v>3060.596</v>
      </c>
      <c r="L97" s="9" t="s">
        <v>47</v>
      </c>
      <c r="M97" s="9" t="s">
        <v>49</v>
      </c>
      <c r="N97" s="9">
        <v>1</v>
      </c>
      <c r="O97" s="9" t="s">
        <v>145</v>
      </c>
      <c r="P97" s="9" t="s">
        <v>242</v>
      </c>
      <c r="Q97" s="21">
        <v>11.54</v>
      </c>
      <c r="R97" s="10">
        <v>45790</v>
      </c>
      <c r="S97" s="8">
        <v>45800</v>
      </c>
      <c r="T97" s="9" t="s">
        <v>248</v>
      </c>
      <c r="U97" s="12"/>
    </row>
    <row r="98" spans="1:21">
      <c r="A98" s="7">
        <v>96</v>
      </c>
      <c r="B98" s="8">
        <v>45403</v>
      </c>
      <c r="C98" s="9" t="s">
        <v>23</v>
      </c>
      <c r="D98" s="9" t="s">
        <v>30</v>
      </c>
      <c r="E98" s="9">
        <v>17</v>
      </c>
      <c r="F98" s="9">
        <v>309.52</v>
      </c>
      <c r="G98" s="9" t="s">
        <v>31</v>
      </c>
      <c r="H98" s="9" t="s">
        <v>35</v>
      </c>
      <c r="I98" s="23">
        <v>0.05</v>
      </c>
      <c r="J98" s="9" t="s">
        <v>37</v>
      </c>
      <c r="K98" s="9">
        <v>4998.7479999999996</v>
      </c>
      <c r="L98" s="9" t="s">
        <v>43</v>
      </c>
      <c r="M98" s="9" t="s">
        <v>48</v>
      </c>
      <c r="N98" s="9">
        <v>0</v>
      </c>
      <c r="O98" s="9" t="s">
        <v>146</v>
      </c>
      <c r="P98" s="9" t="s">
        <v>243</v>
      </c>
      <c r="Q98" s="21">
        <v>6.11</v>
      </c>
      <c r="R98" s="10">
        <v>45403</v>
      </c>
      <c r="S98" s="8">
        <v>45409</v>
      </c>
      <c r="T98" s="9" t="s">
        <v>249</v>
      </c>
      <c r="U98" s="12"/>
    </row>
    <row r="99" spans="1:21">
      <c r="A99" s="7">
        <v>97</v>
      </c>
      <c r="B99" s="8">
        <v>45688</v>
      </c>
      <c r="C99" s="9" t="s">
        <v>22</v>
      </c>
      <c r="D99" s="9" t="s">
        <v>28</v>
      </c>
      <c r="E99" s="9">
        <v>1</v>
      </c>
      <c r="F99" s="9">
        <v>323.83</v>
      </c>
      <c r="G99" s="9" t="s">
        <v>31</v>
      </c>
      <c r="H99" s="9" t="s">
        <v>35</v>
      </c>
      <c r="I99" s="23">
        <v>0.05</v>
      </c>
      <c r="J99" s="9" t="s">
        <v>37</v>
      </c>
      <c r="K99" s="9">
        <v>307.63850000000002</v>
      </c>
      <c r="L99" s="9" t="s">
        <v>45</v>
      </c>
      <c r="M99" s="9" t="s">
        <v>50</v>
      </c>
      <c r="N99" s="9">
        <v>0</v>
      </c>
      <c r="O99" s="9" t="s">
        <v>147</v>
      </c>
      <c r="P99" s="9" t="s">
        <v>244</v>
      </c>
      <c r="Q99" s="21">
        <v>27.48</v>
      </c>
      <c r="R99" s="10">
        <v>45688</v>
      </c>
      <c r="S99" s="8">
        <v>45696</v>
      </c>
      <c r="T99" s="9" t="s">
        <v>248</v>
      </c>
      <c r="U99" s="12"/>
    </row>
    <row r="100" spans="1:21">
      <c r="A100" s="2"/>
      <c r="B100" s="3"/>
      <c r="C100" s="3"/>
      <c r="D100" s="3"/>
      <c r="E100" s="3">
        <f>SUM(E3:E99)</f>
        <v>1024</v>
      </c>
      <c r="F100" s="3"/>
      <c r="G100" s="3"/>
      <c r="H100" s="3"/>
      <c r="I100" s="3"/>
      <c r="J100" s="3"/>
      <c r="K100" s="3"/>
      <c r="L100" s="3"/>
      <c r="M100" s="3"/>
      <c r="N100" s="3"/>
      <c r="O100" s="3"/>
      <c r="P100" s="3"/>
      <c r="Q100" s="2"/>
      <c r="R100" s="2"/>
      <c r="S100" s="3"/>
    </row>
    <row r="101" spans="1:21">
      <c r="A101" s="2"/>
      <c r="B101" s="3"/>
      <c r="C101" s="3"/>
      <c r="D101" s="3"/>
      <c r="E101" s="3"/>
      <c r="F101" s="3"/>
      <c r="G101" s="3"/>
      <c r="H101" s="3"/>
      <c r="I101" s="3"/>
      <c r="J101" s="3"/>
      <c r="K101" s="3"/>
      <c r="L101" s="3"/>
      <c r="M101" s="3"/>
      <c r="N101" s="3"/>
      <c r="O101" s="3"/>
      <c r="P101" s="3"/>
      <c r="Q101" s="2"/>
      <c r="R101" s="2"/>
      <c r="S101" s="3"/>
    </row>
    <row r="102" spans="1:21">
      <c r="A102" s="2"/>
      <c r="B102" s="3"/>
      <c r="C102" s="3"/>
      <c r="D102" s="3"/>
      <c r="E102" s="3"/>
      <c r="F102" s="3"/>
      <c r="G102" s="3"/>
      <c r="H102" s="3"/>
      <c r="I102" s="3"/>
      <c r="J102" s="3"/>
      <c r="K102" s="3"/>
      <c r="L102" s="3"/>
      <c r="M102" s="3"/>
      <c r="N102" s="3"/>
      <c r="O102" s="3"/>
      <c r="P102" s="3"/>
      <c r="Q102" s="2"/>
      <c r="R102" s="2"/>
      <c r="S102" s="3"/>
    </row>
    <row r="103" spans="1:21">
      <c r="A103" s="2"/>
      <c r="B103" s="3"/>
      <c r="C103" s="3"/>
      <c r="D103" s="3"/>
      <c r="E103" s="3"/>
      <c r="F103" s="3"/>
      <c r="G103" s="3"/>
      <c r="H103" s="3"/>
      <c r="I103" s="3"/>
      <c r="J103" s="3"/>
      <c r="K103" s="3"/>
      <c r="L103" s="3"/>
      <c r="M103" s="3"/>
      <c r="N103" s="3"/>
      <c r="O103" s="3"/>
      <c r="P103" s="3"/>
      <c r="Q103" s="2"/>
      <c r="R103" s="2"/>
      <c r="S103" s="3"/>
    </row>
    <row r="104" spans="1:21">
      <c r="A104" s="2"/>
      <c r="B104" s="3"/>
      <c r="C104" s="3"/>
      <c r="D104" s="3"/>
      <c r="E104" s="3"/>
      <c r="F104" s="3"/>
      <c r="G104" s="3"/>
      <c r="H104" s="3"/>
      <c r="I104" s="3"/>
      <c r="J104" s="3"/>
      <c r="K104" s="3"/>
      <c r="L104" s="3"/>
      <c r="M104" s="3"/>
      <c r="N104" s="3"/>
      <c r="O104" s="3"/>
      <c r="P104" s="3"/>
      <c r="Q104" s="2"/>
      <c r="R104" s="2"/>
      <c r="S104" s="3"/>
    </row>
    <row r="105" spans="1:21">
      <c r="A105" s="2"/>
      <c r="B105" s="3"/>
      <c r="C105" s="3"/>
      <c r="D105" s="3"/>
      <c r="E105" s="3"/>
      <c r="F105" s="3"/>
      <c r="G105" s="3"/>
      <c r="H105" s="3"/>
      <c r="I105" s="3"/>
      <c r="J105" s="3"/>
      <c r="K105" s="3"/>
      <c r="L105" s="3"/>
      <c r="M105" s="3"/>
      <c r="N105" s="3"/>
      <c r="O105" s="3"/>
      <c r="P105" s="3"/>
      <c r="Q105" s="2"/>
      <c r="R105" s="2"/>
      <c r="S105" s="3"/>
    </row>
    <row r="106" spans="1:21">
      <c r="A106" s="2"/>
      <c r="B106" s="3"/>
      <c r="C106" s="3"/>
      <c r="D106" s="3"/>
      <c r="E106" s="3"/>
      <c r="F106" s="3"/>
      <c r="G106" s="3"/>
      <c r="H106" s="3"/>
      <c r="I106" s="3"/>
      <c r="J106" s="3"/>
      <c r="K106" s="3"/>
      <c r="L106" s="3"/>
      <c r="M106" s="3"/>
      <c r="N106" s="3"/>
      <c r="O106" s="3"/>
      <c r="P106" s="3"/>
      <c r="Q106" s="2"/>
      <c r="R106" s="2"/>
      <c r="S106" s="3"/>
    </row>
    <row r="107" spans="1:21">
      <c r="A107" s="2"/>
      <c r="B107" s="3"/>
      <c r="C107" s="3"/>
      <c r="D107" s="3"/>
      <c r="E107" s="3"/>
      <c r="F107" s="3"/>
      <c r="G107" s="3"/>
      <c r="H107" s="3"/>
      <c r="I107" s="3"/>
      <c r="J107" s="3"/>
      <c r="K107" s="3"/>
      <c r="L107" s="3"/>
      <c r="M107" s="3"/>
      <c r="N107" s="3"/>
      <c r="O107" s="3"/>
      <c r="P107" s="3"/>
      <c r="Q107" s="2"/>
      <c r="R107" s="2"/>
      <c r="S107" s="3"/>
    </row>
    <row r="108" spans="1:21">
      <c r="A108" s="2"/>
      <c r="B108" s="3"/>
      <c r="C108" s="3"/>
      <c r="D108" s="3"/>
      <c r="E108" s="3"/>
      <c r="F108" s="3"/>
      <c r="G108" s="3"/>
      <c r="H108" s="3"/>
      <c r="I108" s="3"/>
      <c r="J108" s="3"/>
      <c r="K108" s="3"/>
      <c r="L108" s="3"/>
      <c r="M108" s="3"/>
      <c r="N108" s="3"/>
      <c r="O108" s="3"/>
      <c r="P108" s="3"/>
      <c r="Q108" s="2"/>
      <c r="R108" s="2"/>
      <c r="S108" s="3"/>
    </row>
    <row r="109" spans="1:21">
      <c r="A109" s="2"/>
      <c r="B109" s="3"/>
      <c r="C109" s="3"/>
      <c r="D109" s="3"/>
      <c r="E109" s="3"/>
      <c r="F109" s="3"/>
      <c r="G109" s="3"/>
      <c r="H109" s="3"/>
      <c r="I109" s="3"/>
      <c r="J109" s="3"/>
      <c r="K109" s="3"/>
      <c r="L109" s="3"/>
      <c r="M109" s="3"/>
      <c r="N109" s="3"/>
      <c r="O109" s="3"/>
      <c r="P109" s="3"/>
      <c r="Q109" s="2"/>
      <c r="R109" s="2"/>
      <c r="S109" s="3"/>
    </row>
    <row r="110" spans="1:21">
      <c r="A110" s="2"/>
      <c r="B110" s="3"/>
      <c r="C110" s="3"/>
      <c r="D110" s="3"/>
      <c r="E110" s="3"/>
      <c r="F110" s="3"/>
      <c r="G110" s="3"/>
      <c r="H110" s="3"/>
      <c r="I110" s="3"/>
      <c r="J110" s="3"/>
      <c r="K110" s="3"/>
      <c r="L110" s="3"/>
      <c r="M110" s="3"/>
      <c r="N110" s="3"/>
      <c r="O110" s="3"/>
      <c r="P110" s="3"/>
      <c r="Q110" s="2"/>
      <c r="R110" s="2"/>
      <c r="S110" s="3"/>
    </row>
    <row r="111" spans="1:21">
      <c r="A111" s="2"/>
      <c r="B111" s="3"/>
      <c r="C111" s="3"/>
      <c r="D111" s="3"/>
      <c r="E111" s="3"/>
      <c r="F111" s="3"/>
      <c r="G111" s="3"/>
      <c r="H111" s="3"/>
      <c r="I111" s="3"/>
      <c r="J111" s="3"/>
      <c r="K111" s="3"/>
      <c r="L111" s="3"/>
      <c r="M111" s="3"/>
      <c r="N111" s="3"/>
      <c r="O111" s="3"/>
      <c r="P111" s="3"/>
      <c r="Q111" s="2"/>
      <c r="R111" s="2"/>
      <c r="S111" s="3"/>
    </row>
    <row r="112" spans="1:21">
      <c r="A112" s="2"/>
      <c r="B112" s="3"/>
      <c r="C112" s="3"/>
      <c r="D112" s="3"/>
      <c r="E112" s="3"/>
      <c r="F112" s="3"/>
      <c r="G112" s="3"/>
      <c r="H112" s="3"/>
      <c r="I112" s="3"/>
      <c r="J112" s="3"/>
      <c r="K112" s="3"/>
      <c r="L112" s="3"/>
      <c r="M112" s="3"/>
      <c r="N112" s="3"/>
      <c r="O112" s="3"/>
      <c r="P112" s="3"/>
      <c r="Q112" s="2"/>
      <c r="R112" s="2"/>
      <c r="S112" s="3"/>
    </row>
    <row r="113" spans="1:19">
      <c r="A113" s="2"/>
      <c r="B113" s="3"/>
      <c r="C113" s="3"/>
      <c r="D113" s="3"/>
      <c r="E113" s="3"/>
      <c r="F113" s="3"/>
      <c r="G113" s="3"/>
      <c r="H113" s="3"/>
      <c r="I113" s="3"/>
      <c r="J113" s="3"/>
      <c r="K113" s="3"/>
      <c r="L113" s="3"/>
      <c r="M113" s="3"/>
      <c r="N113" s="3"/>
      <c r="O113" s="3"/>
      <c r="P113" s="3"/>
      <c r="Q113" s="2"/>
      <c r="R113" s="2"/>
      <c r="S113" s="3"/>
    </row>
    <row r="114" spans="1:19">
      <c r="A114" s="2"/>
      <c r="B114" s="3"/>
      <c r="C114" s="3"/>
      <c r="D114" s="3"/>
      <c r="E114" s="3"/>
      <c r="F114" s="3"/>
      <c r="G114" s="3"/>
      <c r="H114" s="3"/>
      <c r="I114" s="3"/>
      <c r="J114" s="3"/>
      <c r="K114" s="3"/>
      <c r="L114" s="3"/>
      <c r="M114" s="3"/>
      <c r="N114" s="3"/>
      <c r="O114" s="3"/>
      <c r="P114" s="3"/>
      <c r="Q114" s="2"/>
      <c r="R114" s="2"/>
      <c r="S114" s="3"/>
    </row>
    <row r="115" spans="1:19">
      <c r="A115" s="2"/>
      <c r="B115" s="3"/>
      <c r="C115" s="3"/>
      <c r="D115" s="3"/>
      <c r="E115" s="3"/>
      <c r="F115" s="3"/>
      <c r="G115" s="3"/>
      <c r="H115" s="3"/>
      <c r="I115" s="3"/>
      <c r="J115" s="3"/>
      <c r="K115" s="3"/>
      <c r="L115" s="3"/>
      <c r="M115" s="3"/>
      <c r="N115" s="3"/>
      <c r="O115" s="3"/>
      <c r="P115" s="3"/>
      <c r="Q115" s="2"/>
      <c r="R115" s="2"/>
      <c r="S115" s="3"/>
    </row>
    <row r="116" spans="1:19">
      <c r="A116" s="2"/>
      <c r="B116" s="3"/>
      <c r="C116" s="3"/>
      <c r="D116" s="3"/>
      <c r="E116" s="3"/>
      <c r="F116" s="3"/>
      <c r="G116" s="3"/>
      <c r="H116" s="3"/>
      <c r="I116" s="3"/>
      <c r="J116" s="3"/>
      <c r="K116" s="3"/>
      <c r="L116" s="3"/>
      <c r="M116" s="3"/>
      <c r="N116" s="3"/>
      <c r="O116" s="3"/>
      <c r="P116" s="3"/>
      <c r="Q116" s="2"/>
      <c r="R116" s="2"/>
      <c r="S116" s="3"/>
    </row>
    <row r="117" spans="1:19">
      <c r="A117" s="2"/>
      <c r="B117" s="3"/>
      <c r="C117" s="3"/>
      <c r="D117" s="3"/>
      <c r="E117" s="3"/>
      <c r="F117" s="3"/>
      <c r="G117" s="3"/>
      <c r="H117" s="3"/>
      <c r="I117" s="3"/>
      <c r="J117" s="3"/>
      <c r="K117" s="3"/>
      <c r="L117" s="3"/>
      <c r="M117" s="3"/>
      <c r="N117" s="3"/>
      <c r="O117" s="3"/>
      <c r="P117" s="3"/>
      <c r="Q117" s="2"/>
      <c r="R117" s="2"/>
      <c r="S117" s="3"/>
    </row>
    <row r="118" spans="1:19">
      <c r="A118" s="2"/>
      <c r="B118" s="3"/>
      <c r="C118" s="3"/>
      <c r="D118" s="3"/>
      <c r="E118" s="3"/>
      <c r="F118" s="3"/>
      <c r="G118" s="3"/>
      <c r="H118" s="3"/>
      <c r="I118" s="3"/>
      <c r="J118" s="3"/>
      <c r="K118" s="3"/>
      <c r="L118" s="3"/>
      <c r="M118" s="3"/>
      <c r="N118" s="3"/>
      <c r="O118" s="3"/>
      <c r="P118" s="3"/>
      <c r="Q118" s="2"/>
      <c r="R118" s="2"/>
      <c r="S118" s="3"/>
    </row>
    <row r="119" spans="1:19">
      <c r="A119" s="2"/>
      <c r="B119" s="3"/>
      <c r="C119" s="3"/>
      <c r="D119" s="3"/>
      <c r="E119" s="3"/>
      <c r="F119" s="3"/>
      <c r="G119" s="3"/>
      <c r="H119" s="3"/>
      <c r="I119" s="3"/>
      <c r="J119" s="3"/>
      <c r="K119" s="3"/>
      <c r="L119" s="3"/>
      <c r="M119" s="3"/>
      <c r="N119" s="3"/>
      <c r="O119" s="3"/>
      <c r="P119" s="3"/>
      <c r="Q119" s="2"/>
      <c r="R119" s="2"/>
      <c r="S119" s="3"/>
    </row>
    <row r="120" spans="1:19">
      <c r="A120" s="2"/>
      <c r="B120" s="3"/>
      <c r="C120" s="3"/>
      <c r="D120" s="3"/>
      <c r="E120" s="3"/>
      <c r="F120" s="3"/>
      <c r="G120" s="3"/>
      <c r="H120" s="3"/>
      <c r="I120" s="3"/>
      <c r="J120" s="3"/>
      <c r="K120" s="3"/>
      <c r="L120" s="3"/>
      <c r="M120" s="3"/>
      <c r="N120" s="3"/>
      <c r="O120" s="3"/>
      <c r="P120" s="3"/>
      <c r="Q120" s="2"/>
      <c r="R120" s="2"/>
      <c r="S120" s="3"/>
    </row>
    <row r="121" spans="1:19">
      <c r="A121" s="2"/>
      <c r="B121" s="3"/>
      <c r="C121" s="3"/>
      <c r="D121" s="3"/>
      <c r="E121" s="3"/>
      <c r="F121" s="3"/>
      <c r="G121" s="3"/>
      <c r="H121" s="3"/>
      <c r="I121" s="3"/>
      <c r="J121" s="3"/>
      <c r="K121" s="3"/>
      <c r="L121" s="3"/>
      <c r="M121" s="3"/>
      <c r="N121" s="3"/>
      <c r="O121" s="3"/>
      <c r="P121" s="3"/>
      <c r="Q121" s="2"/>
      <c r="R121" s="2"/>
      <c r="S121" s="3"/>
    </row>
    <row r="122" spans="1:19">
      <c r="A122" s="2"/>
      <c r="B122" s="3"/>
      <c r="C122" s="3"/>
      <c r="D122" s="3"/>
      <c r="E122" s="3"/>
      <c r="F122" s="3"/>
      <c r="G122" s="3"/>
      <c r="H122" s="3"/>
      <c r="I122" s="3"/>
      <c r="J122" s="3"/>
      <c r="K122" s="3"/>
      <c r="L122" s="3"/>
      <c r="M122" s="3"/>
      <c r="N122" s="3"/>
      <c r="O122" s="3"/>
      <c r="P122" s="3"/>
      <c r="Q122" s="2"/>
      <c r="R122" s="2"/>
      <c r="S122" s="3"/>
    </row>
    <row r="123" spans="1:19">
      <c r="A123" s="2"/>
      <c r="B123" s="3"/>
      <c r="C123" s="3"/>
      <c r="D123" s="3"/>
      <c r="E123" s="3"/>
      <c r="F123" s="3"/>
      <c r="G123" s="3"/>
      <c r="H123" s="3"/>
      <c r="I123" s="3"/>
      <c r="J123" s="3"/>
      <c r="K123" s="3"/>
      <c r="L123" s="3"/>
      <c r="M123" s="3"/>
      <c r="N123" s="3"/>
      <c r="O123" s="3"/>
      <c r="P123" s="3"/>
      <c r="Q123" s="2"/>
      <c r="R123" s="2"/>
      <c r="S123" s="3"/>
    </row>
    <row r="124" spans="1:19">
      <c r="A124" s="2"/>
      <c r="B124" s="3"/>
      <c r="C124" s="3"/>
      <c r="D124" s="3"/>
      <c r="E124" s="3"/>
      <c r="F124" s="3"/>
      <c r="G124" s="3"/>
      <c r="H124" s="3"/>
      <c r="I124" s="3"/>
      <c r="J124" s="3"/>
      <c r="K124" s="3"/>
      <c r="L124" s="3"/>
      <c r="M124" s="3"/>
      <c r="N124" s="3"/>
      <c r="O124" s="3"/>
      <c r="P124" s="3"/>
      <c r="Q124" s="2"/>
      <c r="R124" s="2"/>
      <c r="S124" s="3"/>
    </row>
    <row r="125" spans="1:19">
      <c r="A125" s="2"/>
      <c r="B125" s="3"/>
      <c r="C125" s="3"/>
      <c r="D125" s="3"/>
      <c r="E125" s="3"/>
      <c r="F125" s="3"/>
      <c r="G125" s="3"/>
      <c r="H125" s="3"/>
      <c r="I125" s="3"/>
      <c r="J125" s="3"/>
      <c r="K125" s="3"/>
      <c r="L125" s="3"/>
      <c r="M125" s="3"/>
      <c r="N125" s="3"/>
      <c r="O125" s="3"/>
      <c r="P125" s="3"/>
      <c r="Q125" s="2"/>
      <c r="R125" s="2"/>
      <c r="S125" s="3"/>
    </row>
    <row r="126" spans="1:19">
      <c r="A126" s="2"/>
      <c r="B126" s="3"/>
      <c r="C126" s="3"/>
      <c r="D126" s="3"/>
      <c r="E126" s="3"/>
      <c r="F126" s="3"/>
      <c r="G126" s="3"/>
      <c r="H126" s="3"/>
      <c r="I126" s="3"/>
      <c r="J126" s="3"/>
      <c r="K126" s="3"/>
      <c r="L126" s="3"/>
      <c r="M126" s="3"/>
      <c r="N126" s="3"/>
      <c r="O126" s="3"/>
      <c r="P126" s="3"/>
      <c r="Q126" s="2"/>
      <c r="R126" s="2"/>
      <c r="S126" s="3"/>
    </row>
    <row r="127" spans="1:19">
      <c r="A127" s="2"/>
      <c r="B127" s="3"/>
      <c r="C127" s="3"/>
      <c r="D127" s="3"/>
      <c r="E127" s="3"/>
      <c r="F127" s="3"/>
      <c r="G127" s="3"/>
      <c r="H127" s="3"/>
      <c r="I127" s="3"/>
      <c r="J127" s="3"/>
      <c r="K127" s="3"/>
      <c r="L127" s="3"/>
      <c r="M127" s="3"/>
      <c r="N127" s="3"/>
      <c r="O127" s="3"/>
      <c r="P127" s="3"/>
      <c r="Q127" s="2"/>
      <c r="R127" s="2"/>
      <c r="S127" s="3"/>
    </row>
    <row r="128" spans="1:19">
      <c r="A128" s="2"/>
      <c r="B128" s="3"/>
      <c r="C128" s="3"/>
      <c r="D128" s="3"/>
      <c r="E128" s="3"/>
      <c r="F128" s="3"/>
      <c r="G128" s="3"/>
      <c r="H128" s="3"/>
      <c r="I128" s="3"/>
      <c r="J128" s="3"/>
      <c r="K128" s="3"/>
      <c r="L128" s="3"/>
      <c r="M128" s="3"/>
      <c r="N128" s="3"/>
      <c r="O128" s="3"/>
      <c r="P128" s="3"/>
      <c r="Q128" s="2"/>
      <c r="R128" s="2"/>
      <c r="S128" s="3"/>
    </row>
    <row r="129" spans="1:19">
      <c r="A129" s="2"/>
      <c r="B129" s="3"/>
      <c r="C129" s="3"/>
      <c r="D129" s="3"/>
      <c r="E129" s="3"/>
      <c r="F129" s="3"/>
      <c r="G129" s="3"/>
      <c r="H129" s="3"/>
      <c r="I129" s="3"/>
      <c r="J129" s="3"/>
      <c r="K129" s="3"/>
      <c r="L129" s="3"/>
      <c r="M129" s="3"/>
      <c r="N129" s="3"/>
      <c r="O129" s="3"/>
      <c r="P129" s="3"/>
      <c r="Q129" s="2"/>
      <c r="R129" s="2"/>
      <c r="S129" s="3"/>
    </row>
    <row r="130" spans="1:19">
      <c r="A130" s="2"/>
      <c r="B130" s="3"/>
      <c r="C130" s="3"/>
      <c r="D130" s="3"/>
      <c r="E130" s="3"/>
      <c r="F130" s="3"/>
      <c r="G130" s="3"/>
      <c r="H130" s="3"/>
      <c r="I130" s="3"/>
      <c r="J130" s="3"/>
      <c r="K130" s="3"/>
      <c r="L130" s="3"/>
      <c r="M130" s="3"/>
      <c r="N130" s="3"/>
      <c r="O130" s="3"/>
      <c r="P130" s="3"/>
      <c r="Q130" s="2"/>
      <c r="R130" s="2"/>
      <c r="S130" s="3"/>
    </row>
    <row r="131" spans="1:19">
      <c r="A131" s="2"/>
      <c r="B131" s="3"/>
      <c r="C131" s="3"/>
      <c r="D131" s="3"/>
      <c r="E131" s="3"/>
      <c r="F131" s="3"/>
      <c r="G131" s="3"/>
      <c r="H131" s="3"/>
      <c r="I131" s="3"/>
      <c r="J131" s="3"/>
      <c r="K131" s="3"/>
      <c r="L131" s="3"/>
      <c r="M131" s="3"/>
      <c r="N131" s="3"/>
      <c r="O131" s="3"/>
      <c r="P131" s="3"/>
      <c r="Q131" s="2"/>
      <c r="R131" s="2"/>
      <c r="S131" s="3"/>
    </row>
    <row r="132" spans="1:19">
      <c r="A132" s="2"/>
      <c r="B132" s="3"/>
      <c r="C132" s="3"/>
      <c r="D132" s="3"/>
      <c r="E132" s="3"/>
      <c r="F132" s="3"/>
      <c r="G132" s="3"/>
      <c r="H132" s="3"/>
      <c r="I132" s="3"/>
      <c r="J132" s="3"/>
      <c r="K132" s="3"/>
      <c r="L132" s="3"/>
      <c r="M132" s="3"/>
      <c r="N132" s="3"/>
      <c r="O132" s="3"/>
      <c r="P132" s="3"/>
      <c r="Q132" s="2"/>
      <c r="R132" s="2"/>
      <c r="S132" s="3"/>
    </row>
    <row r="133" spans="1:19">
      <c r="A133" s="2"/>
      <c r="B133" s="3"/>
      <c r="C133" s="3"/>
      <c r="D133" s="3"/>
      <c r="E133" s="3"/>
      <c r="F133" s="3"/>
      <c r="G133" s="3"/>
      <c r="H133" s="3"/>
      <c r="I133" s="3"/>
      <c r="J133" s="3"/>
      <c r="K133" s="3"/>
      <c r="L133" s="3"/>
      <c r="M133" s="3"/>
      <c r="N133" s="3"/>
      <c r="O133" s="3"/>
      <c r="P133" s="3"/>
      <c r="Q133" s="2"/>
      <c r="R133" s="2"/>
      <c r="S133" s="3"/>
    </row>
    <row r="134" spans="1:19">
      <c r="A134" s="2"/>
      <c r="B134" s="3"/>
      <c r="C134" s="3"/>
      <c r="D134" s="3"/>
      <c r="E134" s="3"/>
      <c r="F134" s="3"/>
      <c r="G134" s="3"/>
      <c r="H134" s="3"/>
      <c r="I134" s="3"/>
      <c r="J134" s="3"/>
      <c r="K134" s="3"/>
      <c r="L134" s="3"/>
      <c r="M134" s="3"/>
      <c r="N134" s="3"/>
      <c r="O134" s="3"/>
      <c r="P134" s="3"/>
      <c r="Q134" s="2"/>
      <c r="R134" s="2"/>
      <c r="S134" s="3"/>
    </row>
    <row r="135" spans="1:19">
      <c r="A135" s="2"/>
      <c r="B135" s="3"/>
      <c r="C135" s="3"/>
      <c r="D135" s="3"/>
      <c r="E135" s="3"/>
      <c r="F135" s="3"/>
      <c r="G135" s="3"/>
      <c r="H135" s="3"/>
      <c r="I135" s="3"/>
      <c r="J135" s="3"/>
      <c r="K135" s="3"/>
      <c r="L135" s="3"/>
      <c r="M135" s="3"/>
      <c r="N135" s="3"/>
      <c r="O135" s="3"/>
      <c r="P135" s="3"/>
      <c r="Q135" s="2"/>
      <c r="R135" s="2"/>
      <c r="S135" s="3"/>
    </row>
    <row r="136" spans="1:19">
      <c r="A136" s="2"/>
      <c r="B136" s="3"/>
      <c r="C136" s="3"/>
      <c r="D136" s="3"/>
      <c r="E136" s="3"/>
      <c r="F136" s="3"/>
      <c r="G136" s="3"/>
      <c r="H136" s="3"/>
      <c r="I136" s="3"/>
      <c r="J136" s="3"/>
      <c r="K136" s="3"/>
      <c r="L136" s="3"/>
      <c r="M136" s="3"/>
      <c r="N136" s="3"/>
      <c r="O136" s="3"/>
      <c r="P136" s="3"/>
      <c r="Q136" s="2"/>
      <c r="R136" s="2"/>
      <c r="S136" s="3"/>
    </row>
    <row r="137" spans="1:19">
      <c r="A137" s="2"/>
      <c r="B137" s="3"/>
      <c r="C137" s="3"/>
      <c r="D137" s="3"/>
      <c r="E137" s="3"/>
      <c r="F137" s="3"/>
      <c r="G137" s="3"/>
      <c r="H137" s="3"/>
      <c r="I137" s="3"/>
      <c r="J137" s="3"/>
      <c r="K137" s="3"/>
      <c r="L137" s="3"/>
      <c r="M137" s="3"/>
      <c r="N137" s="3"/>
      <c r="O137" s="3"/>
      <c r="P137" s="3"/>
      <c r="Q137" s="2"/>
      <c r="R137" s="2"/>
      <c r="S137" s="3"/>
    </row>
    <row r="138" spans="1:19">
      <c r="A138" s="2"/>
      <c r="B138" s="3"/>
      <c r="C138" s="3"/>
      <c r="D138" s="3"/>
      <c r="E138" s="3"/>
      <c r="F138" s="3"/>
      <c r="G138" s="3"/>
      <c r="H138" s="3"/>
      <c r="I138" s="3"/>
      <c r="J138" s="3"/>
      <c r="K138" s="3"/>
      <c r="L138" s="3"/>
      <c r="M138" s="3"/>
      <c r="N138" s="3"/>
      <c r="O138" s="3"/>
      <c r="P138" s="3"/>
      <c r="Q138" s="2"/>
      <c r="R138" s="2"/>
      <c r="S138" s="3"/>
    </row>
    <row r="139" spans="1:19">
      <c r="A139" s="2"/>
      <c r="B139" s="3"/>
      <c r="C139" s="3"/>
      <c r="D139" s="3"/>
      <c r="E139" s="3"/>
      <c r="F139" s="3"/>
      <c r="G139" s="3"/>
      <c r="H139" s="3"/>
      <c r="I139" s="3"/>
      <c r="J139" s="3"/>
      <c r="K139" s="3"/>
      <c r="L139" s="3"/>
      <c r="M139" s="3"/>
      <c r="N139" s="3"/>
      <c r="O139" s="3"/>
      <c r="P139" s="3"/>
      <c r="Q139" s="2"/>
      <c r="R139" s="2"/>
      <c r="S139" s="3"/>
    </row>
    <row r="140" spans="1:19">
      <c r="A140" s="2"/>
      <c r="B140" s="3"/>
      <c r="C140" s="3"/>
      <c r="D140" s="3"/>
      <c r="E140" s="3"/>
      <c r="F140" s="3"/>
      <c r="G140" s="3"/>
      <c r="H140" s="3"/>
      <c r="I140" s="3"/>
      <c r="J140" s="3"/>
      <c r="K140" s="3"/>
      <c r="L140" s="3"/>
      <c r="M140" s="3"/>
      <c r="N140" s="3"/>
      <c r="O140" s="3"/>
      <c r="P140" s="3"/>
      <c r="Q140" s="2"/>
      <c r="R140" s="2"/>
      <c r="S140" s="3"/>
    </row>
    <row r="141" spans="1:19">
      <c r="A141" s="2"/>
      <c r="B141" s="3"/>
      <c r="C141" s="3"/>
      <c r="D141" s="3"/>
      <c r="E141" s="3"/>
      <c r="F141" s="3"/>
      <c r="G141" s="3"/>
      <c r="H141" s="3"/>
      <c r="I141" s="3"/>
      <c r="J141" s="3"/>
      <c r="K141" s="3"/>
      <c r="L141" s="3"/>
      <c r="M141" s="3"/>
      <c r="N141" s="3"/>
      <c r="O141" s="3"/>
      <c r="P141" s="3"/>
      <c r="Q141" s="2"/>
      <c r="R141" s="2"/>
      <c r="S141" s="3"/>
    </row>
    <row r="142" spans="1:19">
      <c r="A142" s="2"/>
      <c r="B142" s="3"/>
      <c r="C142" s="3"/>
      <c r="D142" s="3"/>
      <c r="E142" s="3"/>
      <c r="F142" s="3"/>
      <c r="G142" s="3"/>
      <c r="H142" s="3"/>
      <c r="I142" s="3"/>
      <c r="J142" s="3"/>
      <c r="K142" s="3"/>
      <c r="L142" s="3"/>
      <c r="M142" s="3"/>
      <c r="N142" s="3"/>
      <c r="O142" s="3"/>
      <c r="P142" s="3"/>
      <c r="Q142" s="2"/>
      <c r="R142" s="2"/>
      <c r="S142" s="3"/>
    </row>
    <row r="143" spans="1:19">
      <c r="A143" s="2"/>
      <c r="B143" s="3"/>
      <c r="C143" s="3"/>
      <c r="D143" s="3"/>
      <c r="E143" s="3"/>
      <c r="F143" s="3"/>
      <c r="G143" s="3"/>
      <c r="H143" s="3"/>
      <c r="I143" s="3"/>
      <c r="J143" s="3"/>
      <c r="K143" s="3"/>
      <c r="L143" s="3"/>
      <c r="M143" s="3"/>
      <c r="N143" s="3"/>
      <c r="O143" s="3"/>
      <c r="P143" s="3"/>
      <c r="Q143" s="2"/>
      <c r="R143" s="2"/>
      <c r="S143" s="3"/>
    </row>
    <row r="144" spans="1:19">
      <c r="A144" s="2"/>
      <c r="B144" s="3"/>
      <c r="C144" s="3"/>
      <c r="D144" s="3"/>
      <c r="E144" s="3"/>
      <c r="F144" s="3"/>
      <c r="G144" s="3"/>
      <c r="H144" s="3"/>
      <c r="I144" s="3"/>
      <c r="J144" s="3"/>
      <c r="K144" s="3"/>
      <c r="L144" s="3"/>
      <c r="M144" s="3"/>
      <c r="N144" s="3"/>
      <c r="O144" s="3"/>
      <c r="P144" s="3"/>
      <c r="Q144" s="2"/>
      <c r="R144" s="2"/>
      <c r="S144" s="3"/>
    </row>
    <row r="145" spans="1:19">
      <c r="A145" s="2"/>
      <c r="B145" s="3"/>
      <c r="C145" s="3"/>
      <c r="D145" s="3"/>
      <c r="E145" s="3"/>
      <c r="F145" s="3"/>
      <c r="G145" s="3"/>
      <c r="H145" s="3"/>
      <c r="I145" s="3"/>
      <c r="J145" s="3"/>
      <c r="K145" s="3"/>
      <c r="L145" s="3"/>
      <c r="M145" s="3"/>
      <c r="N145" s="3"/>
      <c r="O145" s="3"/>
      <c r="P145" s="3"/>
      <c r="Q145" s="2"/>
      <c r="R145" s="2"/>
      <c r="S145" s="3"/>
    </row>
    <row r="146" spans="1:19">
      <c r="A146" s="2"/>
      <c r="B146" s="3"/>
      <c r="C146" s="3"/>
      <c r="D146" s="3"/>
      <c r="E146" s="3"/>
      <c r="F146" s="3"/>
      <c r="G146" s="3"/>
      <c r="H146" s="3"/>
      <c r="I146" s="3"/>
      <c r="J146" s="3"/>
      <c r="K146" s="3"/>
      <c r="L146" s="3"/>
      <c r="M146" s="3"/>
      <c r="N146" s="3"/>
      <c r="O146" s="3"/>
      <c r="P146" s="3"/>
      <c r="Q146" s="2"/>
      <c r="R146" s="2"/>
      <c r="S146" s="3"/>
    </row>
    <row r="147" spans="1:19">
      <c r="A147" s="2"/>
      <c r="B147" s="3"/>
      <c r="C147" s="3"/>
      <c r="D147" s="3"/>
      <c r="E147" s="3"/>
      <c r="F147" s="3"/>
      <c r="G147" s="3"/>
      <c r="H147" s="3"/>
      <c r="I147" s="3"/>
      <c r="J147" s="3"/>
      <c r="K147" s="3"/>
      <c r="L147" s="3"/>
      <c r="M147" s="3"/>
      <c r="N147" s="3"/>
      <c r="O147" s="3"/>
      <c r="P147" s="3"/>
      <c r="Q147" s="2"/>
      <c r="R147" s="2"/>
      <c r="S147" s="3"/>
    </row>
    <row r="148" spans="1:19">
      <c r="A148" s="2"/>
      <c r="B148" s="3"/>
      <c r="C148" s="3"/>
      <c r="D148" s="3"/>
      <c r="E148" s="3"/>
      <c r="F148" s="3"/>
      <c r="G148" s="3"/>
      <c r="H148" s="3"/>
      <c r="I148" s="3"/>
      <c r="J148" s="3"/>
      <c r="K148" s="3"/>
      <c r="L148" s="3"/>
      <c r="M148" s="3"/>
      <c r="N148" s="3"/>
      <c r="O148" s="3"/>
      <c r="P148" s="3"/>
      <c r="Q148" s="2"/>
      <c r="R148" s="2"/>
      <c r="S148" s="3"/>
    </row>
    <row r="149" spans="1:19">
      <c r="A149" s="2"/>
      <c r="B149" s="3"/>
      <c r="C149" s="3"/>
      <c r="D149" s="3"/>
      <c r="E149" s="3"/>
      <c r="F149" s="3"/>
      <c r="G149" s="3"/>
      <c r="H149" s="3"/>
      <c r="I149" s="3"/>
      <c r="J149" s="3"/>
      <c r="K149" s="3"/>
      <c r="L149" s="3"/>
      <c r="M149" s="3"/>
      <c r="N149" s="3"/>
      <c r="O149" s="3"/>
      <c r="P149" s="3"/>
      <c r="Q149" s="2"/>
      <c r="R149" s="2"/>
      <c r="S149" s="3"/>
    </row>
    <row r="150" spans="1:19">
      <c r="A150" s="2"/>
      <c r="B150" s="3"/>
      <c r="C150" s="3"/>
      <c r="D150" s="3"/>
      <c r="E150" s="3"/>
      <c r="F150" s="3"/>
      <c r="G150" s="3"/>
      <c r="H150" s="3"/>
      <c r="I150" s="3"/>
      <c r="J150" s="3"/>
      <c r="K150" s="3"/>
      <c r="L150" s="3"/>
      <c r="M150" s="3"/>
      <c r="N150" s="3"/>
      <c r="O150" s="3"/>
      <c r="P150" s="3"/>
      <c r="Q150" s="2"/>
      <c r="R150" s="2"/>
      <c r="S150" s="3"/>
    </row>
    <row r="151" spans="1:19">
      <c r="A151" s="2"/>
      <c r="B151" s="3"/>
      <c r="C151" s="3"/>
      <c r="D151" s="3"/>
      <c r="E151" s="3"/>
      <c r="F151" s="3"/>
      <c r="G151" s="3"/>
      <c r="H151" s="3"/>
      <c r="I151" s="3"/>
      <c r="J151" s="3"/>
      <c r="K151" s="3"/>
      <c r="L151" s="3"/>
      <c r="M151" s="3"/>
      <c r="N151" s="3"/>
      <c r="O151" s="3"/>
      <c r="P151" s="3"/>
      <c r="Q151" s="2"/>
      <c r="R151" s="2"/>
      <c r="S151" s="3"/>
    </row>
    <row r="152" spans="1:19">
      <c r="A152" s="2"/>
      <c r="B152" s="3"/>
      <c r="C152" s="3"/>
      <c r="D152" s="3"/>
      <c r="E152" s="3"/>
      <c r="F152" s="3"/>
      <c r="G152" s="3"/>
      <c r="H152" s="3"/>
      <c r="I152" s="3"/>
      <c r="J152" s="3"/>
      <c r="K152" s="3"/>
      <c r="L152" s="3"/>
      <c r="M152" s="3"/>
      <c r="N152" s="3"/>
      <c r="O152" s="3"/>
      <c r="P152" s="3"/>
      <c r="Q152" s="2"/>
      <c r="R152" s="2"/>
      <c r="S152" s="3"/>
    </row>
    <row r="153" spans="1:19">
      <c r="A153" s="2"/>
      <c r="B153" s="3"/>
      <c r="C153" s="3"/>
      <c r="D153" s="3"/>
      <c r="E153" s="3"/>
      <c r="F153" s="3"/>
      <c r="G153" s="3"/>
      <c r="H153" s="3"/>
      <c r="I153" s="3"/>
      <c r="J153" s="3"/>
      <c r="K153" s="3"/>
      <c r="L153" s="3"/>
      <c r="M153" s="3"/>
      <c r="N153" s="3"/>
      <c r="O153" s="3"/>
      <c r="P153" s="3"/>
      <c r="Q153" s="2"/>
      <c r="R153" s="2"/>
      <c r="S153" s="3"/>
    </row>
    <row r="154" spans="1:19">
      <c r="A154" s="2"/>
      <c r="B154" s="3"/>
      <c r="C154" s="3"/>
      <c r="D154" s="3"/>
      <c r="E154" s="3"/>
      <c r="F154" s="3"/>
      <c r="G154" s="3"/>
      <c r="H154" s="3"/>
      <c r="I154" s="3"/>
      <c r="J154" s="3"/>
      <c r="K154" s="3"/>
      <c r="L154" s="3"/>
      <c r="M154" s="3"/>
      <c r="N154" s="3"/>
      <c r="O154" s="3"/>
      <c r="P154" s="3"/>
      <c r="Q154" s="2"/>
      <c r="R154" s="2"/>
      <c r="S154" s="3"/>
    </row>
    <row r="155" spans="1:19">
      <c r="A155" s="2"/>
      <c r="B155" s="3"/>
      <c r="C155" s="3"/>
      <c r="D155" s="3"/>
      <c r="E155" s="3"/>
      <c r="F155" s="3"/>
      <c r="G155" s="3"/>
      <c r="H155" s="3"/>
      <c r="I155" s="3"/>
      <c r="J155" s="3"/>
      <c r="K155" s="3"/>
      <c r="L155" s="3"/>
      <c r="M155" s="3"/>
      <c r="N155" s="3"/>
      <c r="O155" s="3"/>
      <c r="P155" s="3"/>
      <c r="Q155" s="2"/>
      <c r="R155" s="2"/>
      <c r="S155" s="3"/>
    </row>
    <row r="156" spans="1:19">
      <c r="A156" s="2"/>
      <c r="B156" s="3"/>
      <c r="C156" s="3"/>
      <c r="D156" s="3"/>
      <c r="E156" s="3"/>
      <c r="F156" s="3"/>
      <c r="G156" s="3"/>
      <c r="H156" s="3"/>
      <c r="I156" s="3"/>
      <c r="J156" s="3"/>
      <c r="K156" s="3"/>
      <c r="L156" s="3"/>
      <c r="M156" s="3"/>
      <c r="N156" s="3"/>
      <c r="O156" s="3"/>
      <c r="P156" s="3"/>
      <c r="Q156" s="2"/>
      <c r="R156" s="2"/>
      <c r="S156" s="3"/>
    </row>
    <row r="157" spans="1:19">
      <c r="A157" s="2"/>
      <c r="B157" s="3"/>
      <c r="C157" s="3"/>
      <c r="D157" s="3"/>
      <c r="E157" s="3"/>
      <c r="F157" s="3"/>
      <c r="G157" s="3"/>
      <c r="H157" s="3"/>
      <c r="I157" s="3"/>
      <c r="J157" s="3"/>
      <c r="K157" s="3"/>
      <c r="L157" s="3"/>
      <c r="M157" s="3"/>
      <c r="N157" s="3"/>
      <c r="O157" s="3"/>
      <c r="P157" s="3"/>
      <c r="Q157" s="2"/>
      <c r="R157" s="2"/>
      <c r="S157" s="3"/>
    </row>
    <row r="158" spans="1:19">
      <c r="A158" s="2"/>
      <c r="B158" s="3"/>
      <c r="C158" s="3"/>
      <c r="D158" s="3"/>
      <c r="E158" s="3"/>
      <c r="F158" s="3"/>
      <c r="G158" s="3"/>
      <c r="H158" s="3"/>
      <c r="I158" s="3"/>
      <c r="J158" s="3"/>
      <c r="K158" s="3"/>
      <c r="L158" s="3"/>
      <c r="M158" s="3"/>
      <c r="N158" s="3"/>
      <c r="O158" s="3"/>
      <c r="P158" s="3"/>
      <c r="Q158" s="2"/>
      <c r="R158" s="2"/>
      <c r="S158" s="3"/>
    </row>
    <row r="159" spans="1:19">
      <c r="A159" s="2"/>
      <c r="B159" s="3"/>
      <c r="C159" s="3"/>
      <c r="D159" s="3"/>
      <c r="E159" s="3"/>
      <c r="F159" s="3"/>
      <c r="G159" s="3"/>
      <c r="H159" s="3"/>
      <c r="I159" s="3"/>
      <c r="J159" s="3"/>
      <c r="K159" s="3"/>
      <c r="L159" s="3"/>
      <c r="M159" s="3"/>
      <c r="N159" s="3"/>
      <c r="O159" s="3"/>
      <c r="P159" s="3"/>
      <c r="Q159" s="2"/>
      <c r="R159" s="2"/>
      <c r="S159" s="3"/>
    </row>
    <row r="160" spans="1:19">
      <c r="A160" s="2"/>
      <c r="B160" s="3"/>
      <c r="C160" s="3"/>
      <c r="D160" s="3"/>
      <c r="E160" s="3"/>
      <c r="F160" s="3"/>
      <c r="G160" s="3"/>
      <c r="H160" s="3"/>
      <c r="I160" s="3"/>
      <c r="J160" s="3"/>
      <c r="K160" s="3"/>
      <c r="L160" s="3"/>
      <c r="M160" s="3"/>
      <c r="N160" s="3"/>
      <c r="O160" s="3"/>
      <c r="P160" s="3"/>
      <c r="Q160" s="2"/>
      <c r="R160" s="2"/>
      <c r="S160" s="3"/>
    </row>
    <row r="161" spans="1:19">
      <c r="A161" s="2"/>
      <c r="B161" s="3"/>
      <c r="C161" s="3"/>
      <c r="D161" s="3"/>
      <c r="E161" s="3"/>
      <c r="F161" s="3"/>
      <c r="G161" s="3"/>
      <c r="H161" s="3"/>
      <c r="I161" s="3"/>
      <c r="J161" s="3"/>
      <c r="K161" s="3"/>
      <c r="L161" s="3"/>
      <c r="M161" s="3"/>
      <c r="N161" s="3"/>
      <c r="O161" s="3"/>
      <c r="P161" s="3"/>
      <c r="Q161" s="2"/>
      <c r="R161" s="2"/>
      <c r="S161" s="3"/>
    </row>
    <row r="162" spans="1:19">
      <c r="A162" s="2"/>
      <c r="B162" s="3"/>
      <c r="C162" s="3"/>
      <c r="D162" s="3"/>
      <c r="E162" s="3"/>
      <c r="F162" s="3"/>
      <c r="G162" s="3"/>
      <c r="H162" s="3"/>
      <c r="I162" s="3"/>
      <c r="J162" s="3"/>
      <c r="K162" s="3"/>
      <c r="L162" s="3"/>
      <c r="M162" s="3"/>
      <c r="N162" s="3"/>
      <c r="O162" s="3"/>
      <c r="P162" s="3"/>
      <c r="Q162" s="2"/>
      <c r="R162" s="2"/>
      <c r="S162" s="3"/>
    </row>
    <row r="163" spans="1:19">
      <c r="A163" s="2"/>
      <c r="B163" s="3"/>
      <c r="C163" s="3"/>
      <c r="D163" s="3"/>
      <c r="E163" s="3"/>
      <c r="F163" s="3"/>
      <c r="G163" s="3"/>
      <c r="H163" s="3"/>
      <c r="I163" s="3"/>
      <c r="J163" s="3"/>
      <c r="K163" s="3"/>
      <c r="L163" s="3"/>
      <c r="M163" s="3"/>
      <c r="N163" s="3"/>
      <c r="O163" s="3"/>
      <c r="P163" s="3"/>
      <c r="Q163" s="2"/>
      <c r="R163" s="2"/>
      <c r="S163" s="3"/>
    </row>
    <row r="164" spans="1:19">
      <c r="A164" s="2"/>
      <c r="B164" s="3"/>
      <c r="C164" s="3"/>
      <c r="D164" s="3"/>
      <c r="E164" s="3"/>
      <c r="F164" s="3"/>
      <c r="G164" s="3"/>
      <c r="H164" s="3"/>
      <c r="I164" s="3"/>
      <c r="J164" s="3"/>
      <c r="K164" s="3"/>
      <c r="L164" s="3"/>
      <c r="M164" s="3"/>
      <c r="N164" s="3"/>
      <c r="O164" s="3"/>
      <c r="P164" s="3"/>
      <c r="Q164" s="2"/>
      <c r="R164" s="2"/>
      <c r="S164" s="3"/>
    </row>
    <row r="165" spans="1:19">
      <c r="A165" s="2"/>
      <c r="B165" s="3"/>
      <c r="C165" s="3"/>
      <c r="D165" s="3"/>
      <c r="E165" s="3"/>
      <c r="F165" s="3"/>
      <c r="G165" s="3"/>
      <c r="H165" s="3"/>
      <c r="I165" s="3"/>
      <c r="J165" s="3"/>
      <c r="K165" s="3"/>
      <c r="L165" s="3"/>
      <c r="M165" s="3"/>
      <c r="N165" s="3"/>
      <c r="O165" s="3"/>
      <c r="P165" s="3"/>
      <c r="Q165" s="2"/>
      <c r="R165" s="2"/>
      <c r="S165" s="3"/>
    </row>
    <row r="166" spans="1:19">
      <c r="A166" s="2"/>
      <c r="B166" s="3"/>
      <c r="C166" s="3"/>
      <c r="D166" s="3"/>
      <c r="E166" s="3"/>
      <c r="F166" s="3"/>
      <c r="G166" s="3"/>
      <c r="H166" s="3"/>
      <c r="I166" s="3"/>
      <c r="J166" s="3"/>
      <c r="K166" s="3"/>
      <c r="L166" s="3"/>
      <c r="M166" s="3"/>
      <c r="N166" s="3"/>
      <c r="O166" s="3"/>
      <c r="P166" s="3"/>
      <c r="Q166" s="2"/>
      <c r="R166" s="2"/>
      <c r="S166" s="3"/>
    </row>
    <row r="167" spans="1:19">
      <c r="A167" s="2"/>
      <c r="B167" s="3"/>
      <c r="C167" s="3"/>
      <c r="D167" s="3"/>
      <c r="E167" s="3"/>
      <c r="F167" s="3"/>
      <c r="G167" s="3"/>
      <c r="H167" s="3"/>
      <c r="I167" s="3"/>
      <c r="J167" s="3"/>
      <c r="K167" s="3"/>
      <c r="L167" s="3"/>
      <c r="M167" s="3"/>
      <c r="N167" s="3"/>
      <c r="O167" s="3"/>
      <c r="P167" s="3"/>
      <c r="Q167" s="2"/>
      <c r="R167" s="2"/>
      <c r="S167" s="3"/>
    </row>
    <row r="168" spans="1:19">
      <c r="A168" s="2"/>
      <c r="B168" s="3"/>
      <c r="C168" s="3"/>
      <c r="D168" s="3"/>
      <c r="E168" s="3"/>
      <c r="F168" s="3"/>
      <c r="G168" s="3"/>
      <c r="H168" s="3"/>
      <c r="I168" s="3"/>
      <c r="J168" s="3"/>
      <c r="K168" s="3"/>
      <c r="L168" s="3"/>
      <c r="M168" s="3"/>
      <c r="N168" s="3"/>
      <c r="O168" s="3"/>
      <c r="P168" s="3"/>
      <c r="Q168" s="2"/>
      <c r="R168" s="2"/>
      <c r="S168" s="3"/>
    </row>
    <row r="169" spans="1:19">
      <c r="A169" s="2"/>
      <c r="B169" s="3"/>
      <c r="C169" s="3"/>
      <c r="D169" s="3"/>
      <c r="E169" s="3"/>
      <c r="F169" s="3"/>
      <c r="G169" s="3"/>
      <c r="H169" s="3"/>
      <c r="I169" s="3"/>
      <c r="J169" s="3"/>
      <c r="K169" s="3"/>
      <c r="L169" s="3"/>
      <c r="M169" s="3"/>
      <c r="N169" s="3"/>
      <c r="O169" s="3"/>
      <c r="P169" s="3"/>
      <c r="Q169" s="2"/>
      <c r="R169" s="2"/>
      <c r="S169" s="3"/>
    </row>
    <row r="170" spans="1:19">
      <c r="A170" s="2"/>
      <c r="B170" s="3"/>
      <c r="C170" s="3"/>
      <c r="D170" s="3"/>
      <c r="E170" s="3"/>
      <c r="F170" s="3"/>
      <c r="G170" s="3"/>
      <c r="H170" s="3"/>
      <c r="I170" s="3"/>
      <c r="J170" s="3"/>
      <c r="K170" s="3"/>
      <c r="L170" s="3"/>
      <c r="M170" s="3"/>
      <c r="N170" s="3"/>
      <c r="O170" s="3"/>
      <c r="P170" s="3"/>
      <c r="Q170" s="2"/>
      <c r="R170" s="2"/>
      <c r="S170" s="3"/>
    </row>
    <row r="171" spans="1:19">
      <c r="A171" s="2"/>
      <c r="B171" s="3"/>
      <c r="C171" s="3"/>
      <c r="D171" s="3"/>
      <c r="E171" s="3"/>
      <c r="F171" s="3"/>
      <c r="G171" s="3"/>
      <c r="H171" s="3"/>
      <c r="I171" s="3"/>
      <c r="J171" s="3"/>
      <c r="K171" s="3"/>
      <c r="L171" s="3"/>
      <c r="M171" s="3"/>
      <c r="N171" s="3"/>
      <c r="O171" s="3"/>
      <c r="P171" s="3"/>
      <c r="Q171" s="2"/>
      <c r="R171" s="2"/>
      <c r="S171" s="3"/>
    </row>
    <row r="172" spans="1:19">
      <c r="A172" s="2"/>
      <c r="B172" s="3"/>
      <c r="C172" s="3"/>
      <c r="D172" s="3"/>
      <c r="E172" s="3"/>
      <c r="F172" s="3"/>
      <c r="G172" s="3"/>
      <c r="H172" s="3"/>
      <c r="I172" s="3"/>
      <c r="J172" s="3"/>
      <c r="K172" s="3"/>
      <c r="L172" s="3"/>
      <c r="M172" s="3"/>
      <c r="N172" s="3"/>
      <c r="O172" s="3"/>
      <c r="P172" s="3"/>
      <c r="Q172" s="2"/>
      <c r="R172" s="2"/>
      <c r="S172" s="3"/>
    </row>
    <row r="173" spans="1:19">
      <c r="A173" s="2"/>
      <c r="B173" s="3"/>
      <c r="C173" s="3"/>
      <c r="D173" s="3"/>
      <c r="E173" s="3"/>
      <c r="F173" s="3"/>
      <c r="G173" s="3"/>
      <c r="H173" s="3"/>
      <c r="I173" s="3"/>
      <c r="J173" s="3"/>
      <c r="K173" s="3"/>
      <c r="L173" s="3"/>
      <c r="M173" s="3"/>
      <c r="N173" s="3"/>
      <c r="O173" s="3"/>
      <c r="P173" s="3"/>
      <c r="Q173" s="2"/>
      <c r="R173" s="2"/>
      <c r="S173" s="3"/>
    </row>
    <row r="174" spans="1:19">
      <c r="A174" s="2"/>
      <c r="B174" s="3"/>
      <c r="C174" s="3"/>
      <c r="D174" s="3"/>
      <c r="E174" s="3"/>
      <c r="F174" s="3"/>
      <c r="G174" s="3"/>
      <c r="H174" s="3"/>
      <c r="I174" s="3"/>
      <c r="J174" s="3"/>
      <c r="K174" s="3"/>
      <c r="L174" s="3"/>
      <c r="M174" s="3"/>
      <c r="N174" s="3"/>
      <c r="O174" s="3"/>
      <c r="P174" s="3"/>
      <c r="Q174" s="2"/>
      <c r="R174" s="2"/>
      <c r="S174" s="3"/>
    </row>
    <row r="175" spans="1:19">
      <c r="A175" s="2"/>
      <c r="B175" s="3"/>
      <c r="C175" s="3"/>
      <c r="D175" s="3"/>
      <c r="E175" s="3"/>
      <c r="F175" s="3"/>
      <c r="G175" s="3"/>
      <c r="H175" s="3"/>
      <c r="I175" s="3"/>
      <c r="J175" s="3"/>
      <c r="K175" s="3"/>
      <c r="L175" s="3"/>
      <c r="M175" s="3"/>
      <c r="N175" s="3"/>
      <c r="O175" s="3"/>
      <c r="P175" s="3"/>
      <c r="Q175" s="2"/>
      <c r="R175" s="2"/>
      <c r="S175" s="3"/>
    </row>
    <row r="176" spans="1:19">
      <c r="A176" s="2"/>
      <c r="B176" s="3"/>
      <c r="C176" s="3"/>
      <c r="D176" s="3"/>
      <c r="E176" s="3"/>
      <c r="F176" s="3"/>
      <c r="G176" s="3"/>
      <c r="H176" s="3"/>
      <c r="I176" s="3"/>
      <c r="J176" s="3"/>
      <c r="K176" s="3"/>
      <c r="L176" s="3"/>
      <c r="M176" s="3"/>
      <c r="N176" s="3"/>
      <c r="O176" s="3"/>
      <c r="P176" s="3"/>
      <c r="Q176" s="2"/>
      <c r="R176" s="2"/>
      <c r="S176" s="3"/>
    </row>
    <row r="177" spans="1:19">
      <c r="A177" s="2"/>
      <c r="B177" s="3"/>
      <c r="C177" s="3"/>
      <c r="D177" s="3"/>
      <c r="E177" s="3"/>
      <c r="F177" s="3"/>
      <c r="G177" s="3"/>
      <c r="H177" s="3"/>
      <c r="I177" s="3"/>
      <c r="J177" s="3"/>
      <c r="K177" s="3"/>
      <c r="L177" s="3"/>
      <c r="M177" s="3"/>
      <c r="N177" s="3"/>
      <c r="O177" s="3"/>
      <c r="P177" s="3"/>
      <c r="Q177" s="2"/>
      <c r="R177" s="2"/>
      <c r="S177" s="3"/>
    </row>
    <row r="178" spans="1:19">
      <c r="A178" s="2"/>
      <c r="B178" s="3"/>
      <c r="C178" s="3"/>
      <c r="D178" s="3"/>
      <c r="E178" s="3"/>
      <c r="F178" s="3"/>
      <c r="G178" s="3"/>
      <c r="H178" s="3"/>
      <c r="I178" s="3"/>
      <c r="J178" s="3"/>
      <c r="K178" s="3"/>
      <c r="L178" s="3"/>
      <c r="M178" s="3"/>
      <c r="N178" s="3"/>
      <c r="O178" s="3"/>
      <c r="P178" s="3"/>
      <c r="Q178" s="2"/>
      <c r="R178" s="2"/>
      <c r="S178" s="3"/>
    </row>
    <row r="179" spans="1:19">
      <c r="A179" s="2"/>
      <c r="B179" s="3"/>
      <c r="C179" s="3"/>
      <c r="D179" s="3"/>
      <c r="E179" s="3"/>
      <c r="F179" s="3"/>
      <c r="G179" s="3"/>
      <c r="H179" s="3"/>
      <c r="I179" s="3"/>
      <c r="J179" s="3"/>
      <c r="K179" s="3"/>
      <c r="L179" s="3"/>
      <c r="M179" s="3"/>
      <c r="N179" s="3"/>
      <c r="O179" s="3"/>
      <c r="P179" s="3"/>
      <c r="Q179" s="2"/>
      <c r="R179" s="2"/>
      <c r="S179" s="3"/>
    </row>
    <row r="180" spans="1:19">
      <c r="A180" s="2"/>
      <c r="B180" s="3"/>
      <c r="C180" s="3"/>
      <c r="D180" s="3"/>
      <c r="E180" s="3"/>
      <c r="F180" s="3"/>
      <c r="G180" s="3"/>
      <c r="H180" s="3"/>
      <c r="I180" s="3"/>
      <c r="J180" s="3"/>
      <c r="K180" s="3"/>
      <c r="L180" s="3"/>
      <c r="M180" s="3"/>
      <c r="N180" s="3"/>
      <c r="O180" s="3"/>
      <c r="P180" s="3"/>
      <c r="Q180" s="2"/>
      <c r="R180" s="2"/>
      <c r="S180" s="3"/>
    </row>
    <row r="181" spans="1:19">
      <c r="A181" s="2"/>
      <c r="B181" s="3"/>
      <c r="C181" s="3"/>
      <c r="D181" s="3"/>
      <c r="E181" s="3"/>
      <c r="F181" s="3"/>
      <c r="G181" s="3"/>
      <c r="H181" s="3"/>
      <c r="I181" s="3"/>
      <c r="J181" s="3"/>
      <c r="K181" s="3"/>
      <c r="L181" s="3"/>
      <c r="M181" s="3"/>
      <c r="N181" s="3"/>
      <c r="O181" s="3"/>
      <c r="P181" s="3"/>
      <c r="Q181" s="2"/>
      <c r="R181" s="2"/>
      <c r="S181" s="3"/>
    </row>
    <row r="182" spans="1:19">
      <c r="A182" s="2"/>
      <c r="B182" s="3"/>
      <c r="C182" s="3"/>
      <c r="D182" s="3"/>
      <c r="E182" s="3"/>
      <c r="F182" s="3"/>
      <c r="G182" s="3"/>
      <c r="H182" s="3"/>
      <c r="I182" s="3"/>
      <c r="J182" s="3"/>
      <c r="K182" s="3"/>
      <c r="L182" s="3"/>
      <c r="M182" s="3"/>
      <c r="N182" s="3"/>
      <c r="O182" s="3"/>
      <c r="P182" s="3"/>
      <c r="Q182" s="2"/>
      <c r="R182" s="2"/>
      <c r="S182" s="3"/>
    </row>
    <row r="183" spans="1:19">
      <c r="A183" s="2"/>
      <c r="B183" s="3"/>
      <c r="C183" s="3"/>
      <c r="D183" s="3"/>
      <c r="E183" s="3"/>
      <c r="F183" s="3"/>
      <c r="G183" s="3"/>
      <c r="H183" s="3"/>
      <c r="I183" s="3"/>
      <c r="J183" s="3"/>
      <c r="K183" s="3"/>
      <c r="L183" s="3"/>
      <c r="M183" s="3"/>
      <c r="N183" s="3"/>
      <c r="O183" s="3"/>
      <c r="P183" s="3"/>
      <c r="Q183" s="2"/>
      <c r="R183" s="2"/>
      <c r="S183" s="3"/>
    </row>
    <row r="184" spans="1:19">
      <c r="A184" s="2"/>
      <c r="B184" s="3"/>
      <c r="C184" s="3"/>
      <c r="D184" s="3"/>
      <c r="E184" s="3"/>
      <c r="F184" s="3"/>
      <c r="G184" s="3"/>
      <c r="H184" s="3"/>
      <c r="I184" s="3"/>
      <c r="J184" s="3"/>
      <c r="K184" s="3"/>
      <c r="L184" s="3"/>
      <c r="M184" s="3"/>
      <c r="N184" s="3"/>
      <c r="O184" s="3"/>
      <c r="P184" s="3"/>
      <c r="Q184" s="2"/>
      <c r="R184" s="2"/>
      <c r="S184" s="3"/>
    </row>
    <row r="185" spans="1:19">
      <c r="A185" s="2"/>
      <c r="B185" s="3"/>
      <c r="C185" s="3"/>
      <c r="D185" s="3"/>
      <c r="E185" s="3"/>
      <c r="F185" s="3"/>
      <c r="G185" s="3"/>
      <c r="H185" s="3"/>
      <c r="I185" s="3"/>
      <c r="J185" s="3"/>
      <c r="K185" s="3"/>
      <c r="L185" s="3"/>
      <c r="M185" s="3"/>
      <c r="N185" s="3"/>
      <c r="O185" s="3"/>
      <c r="P185" s="3"/>
      <c r="Q185" s="2"/>
      <c r="R185" s="2"/>
      <c r="S185" s="3"/>
    </row>
    <row r="186" spans="1:19">
      <c r="A186" s="2"/>
      <c r="B186" s="3"/>
      <c r="C186" s="3"/>
      <c r="D186" s="3"/>
      <c r="E186" s="3"/>
      <c r="F186" s="3"/>
      <c r="G186" s="3"/>
      <c r="H186" s="3"/>
      <c r="I186" s="3"/>
      <c r="J186" s="3"/>
      <c r="K186" s="3"/>
      <c r="L186" s="3"/>
      <c r="M186" s="3"/>
      <c r="N186" s="3"/>
      <c r="O186" s="3"/>
      <c r="P186" s="3"/>
      <c r="Q186" s="2"/>
      <c r="R186" s="2"/>
      <c r="S186" s="3"/>
    </row>
    <row r="187" spans="1:19">
      <c r="A187" s="2"/>
      <c r="B187" s="3"/>
      <c r="C187" s="3"/>
      <c r="D187" s="3"/>
      <c r="E187" s="3"/>
      <c r="F187" s="3"/>
      <c r="G187" s="3"/>
      <c r="H187" s="3"/>
      <c r="I187" s="3"/>
      <c r="J187" s="3"/>
      <c r="K187" s="3"/>
      <c r="L187" s="3"/>
      <c r="M187" s="3"/>
      <c r="N187" s="3"/>
      <c r="O187" s="3"/>
      <c r="P187" s="3"/>
      <c r="Q187" s="2"/>
      <c r="R187" s="2"/>
      <c r="S187" s="3"/>
    </row>
    <row r="188" spans="1:19">
      <c r="A188" s="2"/>
      <c r="B188" s="3"/>
      <c r="C188" s="3"/>
      <c r="D188" s="3"/>
      <c r="E188" s="3"/>
      <c r="F188" s="3"/>
      <c r="G188" s="3"/>
      <c r="H188" s="3"/>
      <c r="I188" s="3"/>
      <c r="J188" s="3"/>
      <c r="K188" s="3"/>
      <c r="L188" s="3"/>
      <c r="M188" s="3"/>
      <c r="N188" s="3"/>
      <c r="O188" s="3"/>
      <c r="P188" s="3"/>
      <c r="Q188" s="2"/>
      <c r="R188" s="2"/>
      <c r="S188" s="3"/>
    </row>
    <row r="189" spans="1:19">
      <c r="A189" s="2"/>
      <c r="B189" s="3"/>
      <c r="C189" s="3"/>
      <c r="D189" s="3"/>
      <c r="E189" s="3"/>
      <c r="F189" s="3"/>
      <c r="G189" s="3"/>
      <c r="H189" s="3"/>
      <c r="I189" s="3"/>
      <c r="J189" s="3"/>
      <c r="K189" s="3"/>
      <c r="L189" s="3"/>
      <c r="M189" s="3"/>
      <c r="N189" s="3"/>
      <c r="O189" s="3"/>
      <c r="P189" s="3"/>
      <c r="Q189" s="2"/>
      <c r="R189" s="2"/>
      <c r="S189" s="3"/>
    </row>
    <row r="190" spans="1:19">
      <c r="A190" s="2"/>
      <c r="B190" s="3"/>
      <c r="C190" s="3"/>
      <c r="D190" s="3"/>
      <c r="E190" s="3"/>
      <c r="F190" s="3"/>
      <c r="G190" s="3"/>
      <c r="H190" s="3"/>
      <c r="I190" s="3"/>
      <c r="J190" s="3"/>
      <c r="K190" s="3"/>
      <c r="L190" s="3"/>
      <c r="M190" s="3"/>
      <c r="N190" s="3"/>
      <c r="O190" s="3"/>
      <c r="P190" s="3"/>
      <c r="Q190" s="2"/>
      <c r="R190" s="2"/>
      <c r="S190" s="3"/>
    </row>
    <row r="191" spans="1:19">
      <c r="A191" s="2"/>
      <c r="B191" s="3"/>
      <c r="C191" s="3"/>
      <c r="D191" s="3"/>
      <c r="E191" s="3"/>
      <c r="F191" s="3"/>
      <c r="G191" s="3"/>
      <c r="H191" s="3"/>
      <c r="I191" s="3"/>
      <c r="J191" s="3"/>
      <c r="K191" s="3"/>
      <c r="L191" s="3"/>
      <c r="M191" s="3"/>
      <c r="N191" s="3"/>
      <c r="O191" s="3"/>
      <c r="P191" s="3"/>
      <c r="Q191" s="2"/>
      <c r="R191" s="2"/>
      <c r="S191" s="3"/>
    </row>
    <row r="192" spans="1:19">
      <c r="A192" s="2"/>
      <c r="B192" s="3"/>
      <c r="C192" s="3"/>
      <c r="D192" s="3"/>
      <c r="E192" s="3"/>
      <c r="F192" s="3"/>
      <c r="G192" s="3"/>
      <c r="H192" s="3"/>
      <c r="I192" s="3"/>
      <c r="J192" s="3"/>
      <c r="K192" s="3"/>
      <c r="L192" s="3"/>
      <c r="M192" s="3"/>
      <c r="N192" s="3"/>
      <c r="O192" s="3"/>
      <c r="P192" s="3"/>
      <c r="Q192" s="2"/>
      <c r="R192" s="2"/>
      <c r="S192" s="3"/>
    </row>
    <row r="193" spans="1:19">
      <c r="A193" s="2"/>
      <c r="B193" s="3"/>
      <c r="C193" s="3"/>
      <c r="D193" s="3"/>
      <c r="E193" s="3"/>
      <c r="F193" s="3"/>
      <c r="G193" s="3"/>
      <c r="H193" s="3"/>
      <c r="I193" s="3"/>
      <c r="J193" s="3"/>
      <c r="K193" s="3"/>
      <c r="L193" s="3"/>
      <c r="M193" s="3"/>
      <c r="N193" s="3"/>
      <c r="O193" s="3"/>
      <c r="P193" s="3"/>
      <c r="Q193" s="2"/>
      <c r="R193" s="2"/>
      <c r="S193" s="3"/>
    </row>
    <row r="194" spans="1:19">
      <c r="A194" s="2"/>
      <c r="B194" s="3"/>
      <c r="C194" s="3"/>
      <c r="D194" s="3"/>
      <c r="E194" s="3"/>
      <c r="F194" s="3"/>
      <c r="G194" s="3"/>
      <c r="H194" s="3"/>
      <c r="I194" s="3"/>
      <c r="J194" s="3"/>
      <c r="K194" s="3"/>
      <c r="L194" s="3"/>
      <c r="M194" s="3"/>
      <c r="N194" s="3"/>
      <c r="O194" s="3"/>
      <c r="P194" s="3"/>
      <c r="Q194" s="2"/>
      <c r="R194" s="2"/>
      <c r="S194" s="3"/>
    </row>
    <row r="195" spans="1:19">
      <c r="A195" s="2"/>
      <c r="B195" s="3"/>
      <c r="C195" s="3"/>
      <c r="D195" s="3"/>
      <c r="E195" s="3"/>
      <c r="F195" s="3"/>
      <c r="G195" s="3"/>
      <c r="H195" s="3"/>
      <c r="I195" s="3"/>
      <c r="J195" s="3"/>
      <c r="K195" s="3"/>
      <c r="L195" s="3"/>
      <c r="M195" s="3"/>
      <c r="N195" s="3"/>
      <c r="O195" s="3"/>
      <c r="P195" s="3"/>
      <c r="Q195" s="2"/>
      <c r="R195" s="2"/>
      <c r="S195" s="3"/>
    </row>
    <row r="196" spans="1:19">
      <c r="A196" s="2"/>
      <c r="B196" s="3"/>
      <c r="C196" s="3"/>
      <c r="D196" s="3"/>
      <c r="E196" s="3"/>
      <c r="F196" s="3"/>
      <c r="G196" s="3"/>
      <c r="H196" s="3"/>
      <c r="I196" s="3"/>
      <c r="J196" s="3"/>
      <c r="K196" s="3"/>
      <c r="L196" s="3"/>
      <c r="M196" s="3"/>
      <c r="N196" s="3"/>
      <c r="O196" s="3"/>
      <c r="P196" s="3"/>
      <c r="Q196" s="2"/>
      <c r="R196" s="2"/>
      <c r="S196" s="3"/>
    </row>
    <row r="197" spans="1:19">
      <c r="A197" s="2"/>
      <c r="B197" s="3"/>
      <c r="C197" s="3"/>
      <c r="D197" s="3"/>
      <c r="E197" s="3"/>
      <c r="F197" s="3"/>
      <c r="G197" s="3"/>
      <c r="H197" s="3"/>
      <c r="I197" s="3"/>
      <c r="J197" s="3"/>
      <c r="K197" s="3"/>
      <c r="L197" s="3"/>
      <c r="M197" s="3"/>
      <c r="N197" s="3"/>
      <c r="O197" s="3"/>
      <c r="P197" s="3"/>
      <c r="Q197" s="2"/>
      <c r="R197" s="2"/>
      <c r="S197" s="3"/>
    </row>
    <row r="198" spans="1:19">
      <c r="A198" s="2"/>
      <c r="B198" s="3"/>
      <c r="C198" s="3"/>
      <c r="D198" s="3"/>
      <c r="E198" s="3"/>
      <c r="F198" s="3"/>
      <c r="G198" s="3"/>
      <c r="H198" s="3"/>
      <c r="I198" s="3"/>
      <c r="J198" s="3"/>
      <c r="K198" s="3"/>
      <c r="L198" s="3"/>
      <c r="M198" s="3"/>
      <c r="N198" s="3"/>
      <c r="O198" s="3"/>
      <c r="P198" s="3"/>
      <c r="Q198" s="2"/>
      <c r="R198" s="2"/>
      <c r="S198" s="3"/>
    </row>
    <row r="199" spans="1:19">
      <c r="A199" s="2"/>
      <c r="B199" s="3"/>
      <c r="C199" s="3"/>
      <c r="D199" s="3"/>
      <c r="E199" s="3"/>
      <c r="F199" s="3"/>
      <c r="G199" s="3"/>
      <c r="H199" s="3"/>
      <c r="I199" s="3"/>
      <c r="J199" s="3"/>
      <c r="K199" s="3"/>
      <c r="L199" s="3"/>
      <c r="M199" s="3"/>
      <c r="N199" s="3"/>
      <c r="O199" s="3"/>
      <c r="P199" s="3"/>
      <c r="Q199" s="2"/>
      <c r="R199" s="2"/>
      <c r="S199" s="3"/>
    </row>
    <row r="200" spans="1:19">
      <c r="A200" s="2"/>
      <c r="B200" s="3"/>
      <c r="C200" s="3"/>
      <c r="D200" s="3"/>
      <c r="E200" s="3"/>
      <c r="F200" s="3"/>
      <c r="G200" s="3"/>
      <c r="H200" s="3"/>
      <c r="I200" s="3"/>
      <c r="J200" s="3"/>
      <c r="K200" s="3"/>
      <c r="L200" s="3"/>
      <c r="M200" s="3"/>
      <c r="N200" s="3"/>
      <c r="O200" s="3"/>
      <c r="P200" s="3"/>
      <c r="Q200" s="2"/>
      <c r="R200" s="2"/>
      <c r="S200" s="3"/>
    </row>
    <row r="201" spans="1:19">
      <c r="A201" s="1"/>
      <c r="Q201" s="1"/>
      <c r="R201" s="1"/>
    </row>
    <row r="202" spans="1:19">
      <c r="A202" s="1"/>
      <c r="Q202" s="1"/>
      <c r="R202" s="1"/>
    </row>
    <row r="203" spans="1:19">
      <c r="A203" s="1"/>
      <c r="Q203" s="1"/>
      <c r="R203" s="1"/>
    </row>
    <row r="204" spans="1:19">
      <c r="A204" s="1"/>
      <c r="Q204" s="1"/>
      <c r="R204" s="1"/>
    </row>
    <row r="205" spans="1:19">
      <c r="A205" s="1"/>
      <c r="Q205" s="1"/>
      <c r="R205" s="1"/>
    </row>
    <row r="206" spans="1:19">
      <c r="A206" s="1"/>
      <c r="Q206" s="1"/>
      <c r="R206" s="1"/>
    </row>
    <row r="207" spans="1:19">
      <c r="A207" s="1"/>
      <c r="Q207" s="1"/>
      <c r="R207" s="1"/>
    </row>
    <row r="208" spans="1:19">
      <c r="A208" s="1"/>
      <c r="Q208" s="1"/>
      <c r="R208" s="1"/>
    </row>
    <row r="209" spans="1:18">
      <c r="A209" s="1"/>
      <c r="Q209" s="1"/>
      <c r="R209" s="1"/>
    </row>
    <row r="210" spans="1:18">
      <c r="A210" s="1"/>
      <c r="Q210" s="1"/>
      <c r="R210" s="1"/>
    </row>
    <row r="211" spans="1:18">
      <c r="A211" s="1"/>
      <c r="Q211" s="1"/>
      <c r="R211" s="1"/>
    </row>
    <row r="212" spans="1:18">
      <c r="A212" s="1"/>
      <c r="Q212" s="1"/>
      <c r="R212" s="1"/>
    </row>
    <row r="213" spans="1:18">
      <c r="A213" s="1"/>
      <c r="Q213" s="1"/>
      <c r="R213" s="1"/>
    </row>
    <row r="214" spans="1:18">
      <c r="A214" s="1"/>
      <c r="Q214" s="1"/>
      <c r="R214" s="1"/>
    </row>
    <row r="215" spans="1:18">
      <c r="A215" s="1"/>
      <c r="Q215" s="1"/>
      <c r="R215" s="1"/>
    </row>
    <row r="216" spans="1:18">
      <c r="A216" s="1"/>
      <c r="Q216" s="1"/>
      <c r="R216" s="1"/>
    </row>
    <row r="217" spans="1:18">
      <c r="A217" s="1"/>
      <c r="Q217" s="1"/>
      <c r="R217" s="1"/>
    </row>
    <row r="218" spans="1:18">
      <c r="A218" s="1"/>
      <c r="Q218" s="1"/>
      <c r="R218" s="1"/>
    </row>
    <row r="219" spans="1:18">
      <c r="A219" s="1"/>
      <c r="Q219" s="1"/>
      <c r="R219" s="1"/>
    </row>
    <row r="220" spans="1:18">
      <c r="A220" s="1"/>
      <c r="Q220" s="1"/>
      <c r="R220" s="1"/>
    </row>
    <row r="221" spans="1:18">
      <c r="A221" s="1"/>
      <c r="Q221" s="1"/>
      <c r="R221" s="1"/>
    </row>
    <row r="222" spans="1:18">
      <c r="A222" s="1"/>
      <c r="Q222" s="1"/>
      <c r="R222" s="1"/>
    </row>
    <row r="223" spans="1:18">
      <c r="A223" s="1"/>
      <c r="Q223" s="1"/>
      <c r="R223" s="1"/>
    </row>
    <row r="224" spans="1:18">
      <c r="A224" s="1"/>
      <c r="Q224" s="1"/>
      <c r="R224" s="1"/>
    </row>
    <row r="225" spans="1:18">
      <c r="A225" s="1"/>
      <c r="Q225" s="1"/>
      <c r="R225" s="1"/>
    </row>
    <row r="226" spans="1:18">
      <c r="A226" s="1"/>
      <c r="Q226" s="1"/>
      <c r="R226" s="1"/>
    </row>
    <row r="227" spans="1:18">
      <c r="A227" s="1"/>
      <c r="Q227" s="1"/>
      <c r="R227" s="1"/>
    </row>
    <row r="228" spans="1:18">
      <c r="A228" s="1"/>
      <c r="Q228" s="1"/>
      <c r="R228" s="1"/>
    </row>
    <row r="229" spans="1:18">
      <c r="A229" s="1"/>
      <c r="Q229" s="1"/>
      <c r="R229" s="1"/>
    </row>
    <row r="230" spans="1:18">
      <c r="A230" s="1"/>
      <c r="Q230" s="1"/>
      <c r="R230" s="1"/>
    </row>
    <row r="231" spans="1:18">
      <c r="A231" s="1"/>
      <c r="Q231" s="1"/>
      <c r="R231" s="1"/>
    </row>
    <row r="232" spans="1:18">
      <c r="A232" s="1"/>
      <c r="Q232" s="1"/>
      <c r="R232" s="1"/>
    </row>
    <row r="233" spans="1:18">
      <c r="A233" s="1"/>
      <c r="Q233" s="1"/>
      <c r="R233" s="1"/>
    </row>
    <row r="234" spans="1:18">
      <c r="A234" s="1"/>
      <c r="Q234" s="1"/>
      <c r="R234" s="1"/>
    </row>
    <row r="235" spans="1:18">
      <c r="A235" s="1"/>
      <c r="Q235" s="1"/>
      <c r="R235" s="1"/>
    </row>
    <row r="236" spans="1:18">
      <c r="A236" s="1"/>
      <c r="Q236" s="1"/>
      <c r="R236" s="1"/>
    </row>
    <row r="237" spans="1:18">
      <c r="A237" s="1"/>
      <c r="Q237" s="1"/>
      <c r="R237" s="1"/>
    </row>
    <row r="238" spans="1:18">
      <c r="A238" s="1"/>
      <c r="Q238" s="1"/>
      <c r="R238" s="1"/>
    </row>
    <row r="239" spans="1:18">
      <c r="A239" s="1"/>
      <c r="Q239" s="1"/>
      <c r="R239" s="1"/>
    </row>
    <row r="240" spans="1:18">
      <c r="A240" s="1"/>
      <c r="Q240" s="1"/>
      <c r="R240" s="1"/>
    </row>
    <row r="241" spans="1:18">
      <c r="A241" s="1"/>
      <c r="Q241" s="1"/>
      <c r="R241" s="1"/>
    </row>
    <row r="242" spans="1:18">
      <c r="A242" s="1"/>
      <c r="Q242" s="1"/>
      <c r="R242" s="1"/>
    </row>
    <row r="243" spans="1:18">
      <c r="A243" s="1"/>
      <c r="Q243" s="1"/>
      <c r="R243" s="1"/>
    </row>
    <row r="244" spans="1:18">
      <c r="A244" s="1"/>
      <c r="Q244" s="1"/>
      <c r="R244" s="1"/>
    </row>
    <row r="245" spans="1:18">
      <c r="A245" s="1"/>
      <c r="Q245" s="1"/>
      <c r="R245" s="1"/>
    </row>
    <row r="246" spans="1:18">
      <c r="A246" s="1"/>
      <c r="Q246" s="1"/>
      <c r="R246" s="1"/>
    </row>
    <row r="247" spans="1:18">
      <c r="A247" s="1"/>
      <c r="Q247" s="1"/>
      <c r="R247" s="1"/>
    </row>
    <row r="248" spans="1:18">
      <c r="A248" s="1"/>
      <c r="Q248" s="1"/>
      <c r="R248" s="1"/>
    </row>
    <row r="249" spans="1:18">
      <c r="A249" s="1"/>
      <c r="Q249" s="1"/>
      <c r="R249" s="1"/>
    </row>
    <row r="250" spans="1:18">
      <c r="A250" s="1"/>
      <c r="Q250" s="1"/>
      <c r="R250" s="1"/>
    </row>
    <row r="251" spans="1:18">
      <c r="A251" s="1"/>
      <c r="Q251" s="1"/>
      <c r="R251" s="1"/>
    </row>
    <row r="252" spans="1:18">
      <c r="A252" s="1"/>
      <c r="Q252" s="1"/>
      <c r="R252" s="1"/>
    </row>
    <row r="253" spans="1:18">
      <c r="A253" s="1"/>
      <c r="Q253" s="1"/>
      <c r="R253" s="1"/>
    </row>
    <row r="254" spans="1:18">
      <c r="A254" s="1"/>
      <c r="Q254" s="1"/>
      <c r="R254" s="1"/>
    </row>
    <row r="255" spans="1:18">
      <c r="A255" s="1"/>
      <c r="Q255" s="1"/>
      <c r="R255" s="1"/>
    </row>
    <row r="256" spans="1:18">
      <c r="A256" s="1"/>
      <c r="Q256" s="1"/>
      <c r="R256" s="1"/>
    </row>
    <row r="257" spans="1:18">
      <c r="A257" s="1"/>
      <c r="Q257" s="1"/>
      <c r="R257" s="1"/>
    </row>
    <row r="258" spans="1:18">
      <c r="A258" s="1"/>
      <c r="Q258" s="1"/>
      <c r="R258" s="1"/>
    </row>
    <row r="259" spans="1:18">
      <c r="A259" s="1"/>
      <c r="Q259" s="1"/>
      <c r="R259" s="1"/>
    </row>
    <row r="260" spans="1:18">
      <c r="A260" s="1"/>
      <c r="Q260" s="1"/>
      <c r="R260" s="1"/>
    </row>
    <row r="261" spans="1:18">
      <c r="A261" s="1"/>
      <c r="Q261" s="1"/>
      <c r="R261" s="1"/>
    </row>
    <row r="262" spans="1:18">
      <c r="A262" s="1"/>
      <c r="Q262" s="1"/>
      <c r="R262" s="1"/>
    </row>
    <row r="263" spans="1:18">
      <c r="A263" s="1"/>
      <c r="Q263" s="1"/>
      <c r="R263" s="1"/>
    </row>
    <row r="264" spans="1:18">
      <c r="A264" s="1"/>
      <c r="Q264" s="1"/>
      <c r="R264" s="1"/>
    </row>
    <row r="265" spans="1:18">
      <c r="A265" s="1"/>
      <c r="Q265" s="1"/>
      <c r="R265" s="1"/>
    </row>
    <row r="266" spans="1:18">
      <c r="A266" s="1"/>
      <c r="Q266" s="1"/>
      <c r="R266" s="1"/>
    </row>
    <row r="267" spans="1:18">
      <c r="A267" s="1"/>
      <c r="Q267" s="1"/>
      <c r="R267" s="1"/>
    </row>
    <row r="268" spans="1:18">
      <c r="A268" s="1"/>
      <c r="Q268" s="1"/>
      <c r="R268" s="1"/>
    </row>
    <row r="269" spans="1:18">
      <c r="A269" s="1"/>
      <c r="Q269" s="1"/>
      <c r="R269" s="1"/>
    </row>
    <row r="270" spans="1:18">
      <c r="A270" s="1"/>
      <c r="Q270" s="1"/>
      <c r="R270" s="1"/>
    </row>
    <row r="271" spans="1:18">
      <c r="A271" s="1"/>
      <c r="Q271" s="1"/>
      <c r="R271" s="1"/>
    </row>
    <row r="272" spans="1:18">
      <c r="A272" s="1"/>
      <c r="Q272" s="1"/>
      <c r="R272" s="1"/>
    </row>
    <row r="273" spans="1:18">
      <c r="A273" s="1"/>
      <c r="Q273" s="1"/>
      <c r="R273" s="1"/>
    </row>
    <row r="274" spans="1:18">
      <c r="A274" s="1"/>
      <c r="Q274" s="1"/>
      <c r="R274" s="1"/>
    </row>
    <row r="275" spans="1:18">
      <c r="A275" s="1"/>
      <c r="Q275" s="1"/>
      <c r="R275" s="1"/>
    </row>
    <row r="276" spans="1:18">
      <c r="A276" s="1"/>
      <c r="Q276" s="1"/>
      <c r="R276" s="1"/>
    </row>
    <row r="277" spans="1:18">
      <c r="A277" s="1"/>
      <c r="Q277" s="1"/>
      <c r="R277" s="1"/>
    </row>
    <row r="278" spans="1:18">
      <c r="A278" s="1"/>
      <c r="Q278" s="1"/>
      <c r="R278" s="1"/>
    </row>
    <row r="279" spans="1:18">
      <c r="A279" s="1"/>
      <c r="Q279" s="1"/>
      <c r="R279" s="1"/>
    </row>
    <row r="280" spans="1:18">
      <c r="A280" s="1"/>
      <c r="Q280" s="1"/>
      <c r="R280" s="1"/>
    </row>
    <row r="281" spans="1:18">
      <c r="A281" s="1"/>
      <c r="Q281" s="1"/>
      <c r="R281" s="1"/>
    </row>
    <row r="282" spans="1:18">
      <c r="A282" s="1"/>
      <c r="Q282" s="1"/>
      <c r="R282" s="1"/>
    </row>
    <row r="283" spans="1:18">
      <c r="A283" s="1"/>
      <c r="Q283" s="1"/>
      <c r="R283" s="1"/>
    </row>
    <row r="284" spans="1:18">
      <c r="A284" s="1"/>
      <c r="Q284" s="1"/>
      <c r="R284" s="1"/>
    </row>
    <row r="285" spans="1:18">
      <c r="A285" s="1"/>
      <c r="Q285" s="1"/>
      <c r="R285" s="1"/>
    </row>
    <row r="286" spans="1:18">
      <c r="A286" s="1"/>
      <c r="Q286" s="1"/>
      <c r="R286" s="1"/>
    </row>
    <row r="287" spans="1:18">
      <c r="A287" s="1"/>
      <c r="Q287" s="1"/>
      <c r="R287" s="1"/>
    </row>
    <row r="288" spans="1:18">
      <c r="A288" s="1"/>
      <c r="Q288" s="1"/>
      <c r="R288" s="1"/>
    </row>
    <row r="289" spans="1:18">
      <c r="A289" s="1"/>
      <c r="Q289" s="1"/>
      <c r="R289" s="1"/>
    </row>
    <row r="290" spans="1:18">
      <c r="A290" s="1"/>
      <c r="Q290" s="1"/>
      <c r="R290" s="1"/>
    </row>
    <row r="291" spans="1:18">
      <c r="A291" s="1"/>
      <c r="Q291" s="1"/>
      <c r="R291" s="1"/>
    </row>
    <row r="292" spans="1:18">
      <c r="A292" s="1"/>
      <c r="Q292" s="1"/>
      <c r="R292" s="1"/>
    </row>
    <row r="293" spans="1:18">
      <c r="A293" s="1"/>
      <c r="Q293" s="1"/>
      <c r="R293" s="1"/>
    </row>
    <row r="294" spans="1:18">
      <c r="A294" s="1"/>
      <c r="Q294" s="1"/>
      <c r="R294" s="1"/>
    </row>
    <row r="295" spans="1:18">
      <c r="A295" s="1"/>
      <c r="Q295" s="1"/>
      <c r="R295" s="1"/>
    </row>
    <row r="296" spans="1:18">
      <c r="A296" s="1"/>
      <c r="Q296" s="1"/>
      <c r="R296" s="1"/>
    </row>
    <row r="297" spans="1:18">
      <c r="A297" s="1"/>
      <c r="Q297" s="1"/>
      <c r="R297" s="1"/>
    </row>
    <row r="298" spans="1:18">
      <c r="A298" s="1"/>
      <c r="Q298" s="1"/>
      <c r="R298" s="1"/>
    </row>
    <row r="299" spans="1:18">
      <c r="A299" s="1"/>
      <c r="Q299" s="1"/>
      <c r="R299" s="1"/>
    </row>
    <row r="300" spans="1:18">
      <c r="A300" s="1"/>
      <c r="Q300" s="1"/>
      <c r="R300" s="1"/>
    </row>
    <row r="301" spans="1:18">
      <c r="A301" s="1"/>
      <c r="Q301" s="1"/>
      <c r="R301" s="1"/>
    </row>
    <row r="302" spans="1:18">
      <c r="A302" s="1"/>
      <c r="Q302" s="1"/>
      <c r="R302" s="1"/>
    </row>
    <row r="303" spans="1:18">
      <c r="A303" s="1"/>
      <c r="Q303" s="1"/>
      <c r="R303" s="1"/>
    </row>
    <row r="304" spans="1:18">
      <c r="A304" s="1"/>
      <c r="Q304" s="1"/>
      <c r="R304" s="1"/>
    </row>
    <row r="305" spans="1:18">
      <c r="A305" s="1"/>
      <c r="Q305" s="1"/>
      <c r="R305" s="1"/>
    </row>
    <row r="306" spans="1:18">
      <c r="A306" s="1"/>
      <c r="Q306" s="1"/>
      <c r="R306" s="1"/>
    </row>
    <row r="307" spans="1:18">
      <c r="A307" s="1"/>
      <c r="Q307" s="1"/>
      <c r="R307" s="1"/>
    </row>
    <row r="308" spans="1:18">
      <c r="A308" s="1"/>
      <c r="Q308" s="1"/>
      <c r="R308" s="1"/>
    </row>
    <row r="309" spans="1:18">
      <c r="A309" s="1"/>
      <c r="Q309" s="1"/>
      <c r="R309" s="1"/>
    </row>
    <row r="310" spans="1:18">
      <c r="A310" s="1"/>
      <c r="Q310" s="1"/>
      <c r="R310" s="1"/>
    </row>
    <row r="311" spans="1:18">
      <c r="A311" s="1"/>
      <c r="Q311" s="1"/>
      <c r="R311" s="1"/>
    </row>
    <row r="312" spans="1:18">
      <c r="A312" s="1"/>
      <c r="Q312" s="1"/>
      <c r="R312" s="1"/>
    </row>
    <row r="313" spans="1:18">
      <c r="A313" s="1"/>
      <c r="Q313" s="1"/>
      <c r="R313" s="1"/>
    </row>
    <row r="314" spans="1:18">
      <c r="A314" s="1"/>
      <c r="Q314" s="1"/>
      <c r="R314" s="1"/>
    </row>
    <row r="315" spans="1:18">
      <c r="A315" s="1"/>
      <c r="Q315" s="1"/>
      <c r="R315" s="1"/>
    </row>
    <row r="316" spans="1:18">
      <c r="A316" s="1"/>
      <c r="Q316" s="1"/>
      <c r="R316" s="1"/>
    </row>
    <row r="317" spans="1:18">
      <c r="A317" s="1"/>
      <c r="Q317" s="1"/>
      <c r="R317" s="1"/>
    </row>
    <row r="318" spans="1:18">
      <c r="A318" s="1"/>
      <c r="Q318" s="1"/>
      <c r="R318" s="1"/>
    </row>
    <row r="319" spans="1:18">
      <c r="A319" s="1"/>
      <c r="Q319" s="1"/>
      <c r="R319" s="1"/>
    </row>
    <row r="320" spans="1:18">
      <c r="A320" s="1"/>
      <c r="Q320" s="1"/>
      <c r="R320" s="1"/>
    </row>
    <row r="321" spans="1:18">
      <c r="A321" s="1"/>
      <c r="Q321" s="1"/>
      <c r="R321" s="1"/>
    </row>
    <row r="322" spans="1:18">
      <c r="A322" s="1"/>
      <c r="Q322" s="1"/>
      <c r="R322" s="1"/>
    </row>
    <row r="323" spans="1:18">
      <c r="A323" s="1"/>
      <c r="Q323" s="1"/>
      <c r="R323" s="1"/>
    </row>
    <row r="324" spans="1:18">
      <c r="A324" s="1"/>
      <c r="Q324" s="1"/>
      <c r="R324" s="1"/>
    </row>
    <row r="325" spans="1:18">
      <c r="A325" s="1"/>
      <c r="Q325" s="1"/>
      <c r="R325" s="1"/>
    </row>
    <row r="326" spans="1:18">
      <c r="A326" s="1"/>
      <c r="Q326" s="1"/>
      <c r="R326" s="1"/>
    </row>
    <row r="327" spans="1:18">
      <c r="A327" s="1"/>
      <c r="Q327" s="1"/>
      <c r="R327" s="1"/>
    </row>
    <row r="328" spans="1:18">
      <c r="A328" s="1"/>
      <c r="Q328" s="1"/>
      <c r="R328" s="1"/>
    </row>
    <row r="329" spans="1:18">
      <c r="A329" s="1"/>
      <c r="Q329" s="1"/>
      <c r="R329" s="1"/>
    </row>
    <row r="330" spans="1:18">
      <c r="A330" s="1"/>
      <c r="Q330" s="1"/>
      <c r="R330" s="1"/>
    </row>
    <row r="331" spans="1:18">
      <c r="A331" s="1"/>
      <c r="Q331" s="1"/>
      <c r="R331" s="1"/>
    </row>
    <row r="332" spans="1:18">
      <c r="A332" s="1"/>
      <c r="Q332" s="1"/>
      <c r="R332" s="1"/>
    </row>
    <row r="333" spans="1:18">
      <c r="A333" s="1"/>
      <c r="Q333" s="1"/>
      <c r="R333" s="1"/>
    </row>
    <row r="334" spans="1:18">
      <c r="A334" s="1"/>
      <c r="Q334" s="1"/>
      <c r="R334" s="1"/>
    </row>
    <row r="335" spans="1:18">
      <c r="A335" s="1"/>
      <c r="Q335" s="1"/>
      <c r="R335" s="1"/>
    </row>
    <row r="336" spans="1:18">
      <c r="A336" s="1"/>
      <c r="Q336" s="1"/>
      <c r="R336" s="1"/>
    </row>
    <row r="337" spans="1:18">
      <c r="A337" s="1"/>
      <c r="Q337" s="1"/>
      <c r="R337" s="1"/>
    </row>
    <row r="338" spans="1:18">
      <c r="A338" s="1"/>
      <c r="Q338" s="1"/>
      <c r="R338" s="1"/>
    </row>
    <row r="339" spans="1:18">
      <c r="A339" s="1"/>
      <c r="Q339" s="1"/>
      <c r="R339" s="1"/>
    </row>
    <row r="340" spans="1:18">
      <c r="A340" s="1"/>
      <c r="Q340" s="1"/>
      <c r="R340" s="1"/>
    </row>
    <row r="341" spans="1:18">
      <c r="A341" s="1"/>
      <c r="Q341" s="1"/>
      <c r="R341" s="1"/>
    </row>
    <row r="342" spans="1:18">
      <c r="A342" s="1"/>
      <c r="Q342" s="1"/>
      <c r="R342" s="1"/>
    </row>
    <row r="343" spans="1:18">
      <c r="A343" s="1"/>
      <c r="Q343" s="1"/>
      <c r="R343" s="1"/>
    </row>
    <row r="344" spans="1:18">
      <c r="A344" s="1"/>
      <c r="Q344" s="1"/>
      <c r="R344" s="1"/>
    </row>
    <row r="345" spans="1:18">
      <c r="A345" s="1"/>
      <c r="Q345" s="1"/>
      <c r="R345" s="1"/>
    </row>
    <row r="346" spans="1:18">
      <c r="A346" s="1"/>
      <c r="Q346" s="1"/>
      <c r="R346" s="1"/>
    </row>
    <row r="347" spans="1:18">
      <c r="A347" s="1"/>
      <c r="Q347" s="1"/>
      <c r="R347" s="1"/>
    </row>
    <row r="348" spans="1:18">
      <c r="A348" s="1"/>
      <c r="Q348" s="1"/>
      <c r="R348" s="1"/>
    </row>
    <row r="349" spans="1:18">
      <c r="A349" s="1"/>
      <c r="Q349" s="1"/>
      <c r="R349" s="1"/>
    </row>
    <row r="350" spans="1:18">
      <c r="A350" s="1"/>
      <c r="Q350" s="1"/>
      <c r="R350" s="1"/>
    </row>
    <row r="351" spans="1:18">
      <c r="A351" s="1"/>
      <c r="Q351" s="1"/>
      <c r="R351" s="1"/>
    </row>
    <row r="352" spans="1:18">
      <c r="A352" s="1"/>
      <c r="Q352" s="1"/>
      <c r="R352" s="1"/>
    </row>
    <row r="353" spans="1:18">
      <c r="A353" s="1"/>
      <c r="Q353" s="1"/>
      <c r="R353" s="1"/>
    </row>
    <row r="354" spans="1:18">
      <c r="A354" s="1"/>
      <c r="Q354" s="1"/>
      <c r="R354" s="1"/>
    </row>
    <row r="355" spans="1:18">
      <c r="A355" s="1"/>
      <c r="Q355" s="1"/>
      <c r="R355" s="1"/>
    </row>
    <row r="356" spans="1:18">
      <c r="A356" s="1"/>
      <c r="Q356" s="1"/>
      <c r="R356" s="1"/>
    </row>
    <row r="357" spans="1:18">
      <c r="A357" s="1"/>
      <c r="Q357" s="1"/>
      <c r="R357" s="1"/>
    </row>
    <row r="358" spans="1:18">
      <c r="A358" s="1"/>
      <c r="Q358" s="1"/>
      <c r="R358" s="1"/>
    </row>
    <row r="359" spans="1:18">
      <c r="A359" s="1"/>
      <c r="Q359" s="1"/>
      <c r="R359" s="1"/>
    </row>
    <row r="360" spans="1:18">
      <c r="A360" s="1"/>
      <c r="Q360" s="1"/>
      <c r="R360" s="1"/>
    </row>
    <row r="361" spans="1:18">
      <c r="A361" s="1"/>
      <c r="Q361" s="1"/>
      <c r="R361" s="1"/>
    </row>
    <row r="362" spans="1:18">
      <c r="A362" s="1"/>
      <c r="Q362" s="1"/>
      <c r="R362" s="1"/>
    </row>
    <row r="363" spans="1:18">
      <c r="A363" s="1"/>
      <c r="Q363" s="1"/>
      <c r="R363" s="1"/>
    </row>
    <row r="364" spans="1:18">
      <c r="A364" s="1"/>
      <c r="Q364" s="1"/>
      <c r="R364" s="1"/>
    </row>
    <row r="365" spans="1:18">
      <c r="A365" s="1"/>
      <c r="Q365" s="1"/>
      <c r="R365" s="1"/>
    </row>
    <row r="366" spans="1:18">
      <c r="A366" s="1"/>
      <c r="Q366" s="1"/>
      <c r="R366" s="1"/>
    </row>
    <row r="367" spans="1:18">
      <c r="A367" s="1"/>
      <c r="Q367" s="1"/>
      <c r="R367" s="1"/>
    </row>
    <row r="368" spans="1:18">
      <c r="A368" s="1"/>
      <c r="Q368" s="1"/>
      <c r="R368" s="1"/>
    </row>
    <row r="369" spans="1:18">
      <c r="A369" s="1"/>
      <c r="Q369" s="1"/>
      <c r="R369" s="1"/>
    </row>
    <row r="370" spans="1:18">
      <c r="A370" s="1"/>
      <c r="Q370" s="1"/>
      <c r="R370" s="1"/>
    </row>
    <row r="371" spans="1:18">
      <c r="A371" s="1"/>
      <c r="Q371" s="1"/>
      <c r="R371" s="1"/>
    </row>
    <row r="372" spans="1:18">
      <c r="A372" s="1"/>
      <c r="Q372" s="1"/>
      <c r="R372" s="1"/>
    </row>
    <row r="373" spans="1:18">
      <c r="A373" s="1"/>
      <c r="Q373" s="1"/>
      <c r="R373" s="1"/>
    </row>
    <row r="374" spans="1:18">
      <c r="A374" s="1"/>
      <c r="Q374" s="1"/>
      <c r="R374" s="1"/>
    </row>
    <row r="375" spans="1:18">
      <c r="A375" s="1"/>
      <c r="Q375" s="1"/>
      <c r="R375" s="1"/>
    </row>
    <row r="376" spans="1:18">
      <c r="A376" s="1"/>
      <c r="Q376" s="1"/>
      <c r="R376" s="1"/>
    </row>
    <row r="377" spans="1:18">
      <c r="A377" s="1"/>
      <c r="Q377" s="1"/>
      <c r="R377" s="1"/>
    </row>
    <row r="378" spans="1:18">
      <c r="A378" s="1"/>
      <c r="Q378" s="1"/>
      <c r="R378" s="1"/>
    </row>
    <row r="379" spans="1:18">
      <c r="A379" s="1"/>
      <c r="Q379" s="1"/>
      <c r="R379" s="1"/>
    </row>
    <row r="380" spans="1:18">
      <c r="A380" s="1"/>
      <c r="Q380" s="1"/>
      <c r="R380" s="1"/>
    </row>
    <row r="381" spans="1:18">
      <c r="A381" s="1"/>
      <c r="Q381" s="1"/>
      <c r="R381" s="1"/>
    </row>
    <row r="382" spans="1:18">
      <c r="A382" s="1"/>
      <c r="Q382" s="1"/>
      <c r="R382" s="1"/>
    </row>
    <row r="383" spans="1:18">
      <c r="A383" s="1"/>
      <c r="Q383" s="1"/>
      <c r="R383" s="1"/>
    </row>
    <row r="384" spans="1:18">
      <c r="A384" s="1"/>
      <c r="Q384" s="1"/>
      <c r="R384" s="1"/>
    </row>
    <row r="385" spans="1:18">
      <c r="A385" s="1"/>
      <c r="Q385" s="1"/>
      <c r="R385" s="1"/>
    </row>
    <row r="386" spans="1:18">
      <c r="A386" s="1"/>
      <c r="Q386" s="1"/>
      <c r="R386" s="1"/>
    </row>
    <row r="387" spans="1:18">
      <c r="A387" s="1"/>
      <c r="Q387" s="1"/>
      <c r="R387" s="1"/>
    </row>
    <row r="388" spans="1:18">
      <c r="A388" s="1"/>
      <c r="Q388" s="1"/>
      <c r="R388" s="1"/>
    </row>
    <row r="389" spans="1:18">
      <c r="A389" s="1"/>
      <c r="Q389" s="1"/>
      <c r="R389" s="1"/>
    </row>
    <row r="390" spans="1:18">
      <c r="A390" s="1"/>
      <c r="Q390" s="1"/>
      <c r="R390" s="1"/>
    </row>
    <row r="391" spans="1:18">
      <c r="A391" s="1"/>
      <c r="Q391" s="1"/>
      <c r="R391" s="1"/>
    </row>
    <row r="392" spans="1:18">
      <c r="A392" s="1"/>
      <c r="Q392" s="1"/>
      <c r="R392" s="1"/>
    </row>
    <row r="393" spans="1:18">
      <c r="A393" s="1"/>
      <c r="Q393" s="1"/>
      <c r="R393" s="1"/>
    </row>
    <row r="394" spans="1:18">
      <c r="A394" s="1"/>
      <c r="Q394" s="1"/>
      <c r="R394" s="1"/>
    </row>
    <row r="395" spans="1:18">
      <c r="A395" s="1"/>
      <c r="Q395" s="1"/>
      <c r="R395" s="1"/>
    </row>
    <row r="396" spans="1:18">
      <c r="A396" s="1"/>
      <c r="Q396" s="1"/>
      <c r="R396" s="1"/>
    </row>
    <row r="397" spans="1:18">
      <c r="A397" s="1"/>
      <c r="Q397" s="1"/>
      <c r="R397" s="1"/>
    </row>
    <row r="398" spans="1:18">
      <c r="A398" s="1"/>
      <c r="Q398" s="1"/>
      <c r="R398" s="1"/>
    </row>
    <row r="399" spans="1:18">
      <c r="A399" s="1"/>
      <c r="Q399" s="1"/>
      <c r="R399" s="1"/>
    </row>
    <row r="400" spans="1:18">
      <c r="A400" s="1"/>
      <c r="Q400" s="1"/>
      <c r="R400" s="1"/>
    </row>
    <row r="401" spans="1:18">
      <c r="A401" s="1"/>
      <c r="Q401" s="1"/>
      <c r="R401" s="1"/>
    </row>
    <row r="402" spans="1:18">
      <c r="A402" s="1"/>
      <c r="Q402" s="1"/>
      <c r="R402" s="1"/>
    </row>
    <row r="403" spans="1:18">
      <c r="A403" s="1"/>
      <c r="Q403" s="1"/>
      <c r="R403" s="1"/>
    </row>
    <row r="404" spans="1:18">
      <c r="A404" s="1"/>
      <c r="Q404" s="1"/>
      <c r="R404" s="1"/>
    </row>
    <row r="405" spans="1:18">
      <c r="A405" s="1"/>
      <c r="Q405" s="1"/>
      <c r="R405" s="1"/>
    </row>
    <row r="406" spans="1:18">
      <c r="A406" s="1"/>
      <c r="Q406" s="1"/>
      <c r="R406" s="1"/>
    </row>
    <row r="407" spans="1:18">
      <c r="A407" s="1"/>
      <c r="Q407" s="1"/>
      <c r="R407" s="1"/>
    </row>
    <row r="408" spans="1:18">
      <c r="A408" s="1"/>
      <c r="Q408" s="1"/>
      <c r="R408" s="1"/>
    </row>
    <row r="409" spans="1:18">
      <c r="A409" s="1"/>
      <c r="Q409" s="1"/>
      <c r="R409" s="1"/>
    </row>
    <row r="410" spans="1:18">
      <c r="A410" s="1"/>
      <c r="Q410" s="1"/>
      <c r="R410" s="1"/>
    </row>
    <row r="411" spans="1:18">
      <c r="A411" s="1"/>
      <c r="Q411" s="1"/>
      <c r="R411" s="1"/>
    </row>
    <row r="412" spans="1:18">
      <c r="A412" s="1"/>
      <c r="Q412" s="1"/>
      <c r="R412" s="1"/>
    </row>
    <row r="413" spans="1:18">
      <c r="A413" s="1"/>
      <c r="Q413" s="1"/>
      <c r="R413" s="1"/>
    </row>
    <row r="414" spans="1:18">
      <c r="A414" s="1"/>
      <c r="Q414" s="1"/>
      <c r="R414" s="1"/>
    </row>
    <row r="415" spans="1:18">
      <c r="A415" s="1"/>
      <c r="Q415" s="1"/>
      <c r="R415" s="1"/>
    </row>
    <row r="416" spans="1:18">
      <c r="A416" s="1"/>
      <c r="Q416" s="1"/>
      <c r="R416" s="1"/>
    </row>
    <row r="417" spans="1:18">
      <c r="A417" s="1"/>
      <c r="Q417" s="1"/>
      <c r="R417" s="1"/>
    </row>
    <row r="418" spans="1:18">
      <c r="A418" s="1"/>
      <c r="Q418" s="1"/>
      <c r="R418" s="1"/>
    </row>
    <row r="419" spans="1:18">
      <c r="A419" s="1"/>
      <c r="Q419" s="1"/>
      <c r="R419" s="1"/>
    </row>
    <row r="420" spans="1:18">
      <c r="A420" s="1"/>
      <c r="Q420" s="1"/>
      <c r="R420" s="1"/>
    </row>
    <row r="421" spans="1:18">
      <c r="A421" s="1"/>
      <c r="Q421" s="1"/>
      <c r="R421" s="1"/>
    </row>
    <row r="422" spans="1:18">
      <c r="A422" s="1"/>
      <c r="Q422" s="1"/>
      <c r="R422" s="1"/>
    </row>
    <row r="423" spans="1:18">
      <c r="A423" s="1"/>
      <c r="Q423" s="1"/>
      <c r="R423" s="1"/>
    </row>
    <row r="424" spans="1:18">
      <c r="A424" s="1"/>
      <c r="Q424" s="1"/>
      <c r="R424" s="1"/>
    </row>
    <row r="425" spans="1:18">
      <c r="A425" s="1"/>
      <c r="Q425" s="1"/>
      <c r="R425" s="1"/>
    </row>
    <row r="426" spans="1:18">
      <c r="A426" s="1"/>
      <c r="Q426" s="1"/>
      <c r="R426" s="1"/>
    </row>
    <row r="427" spans="1:18">
      <c r="A427" s="1"/>
      <c r="Q427" s="1"/>
      <c r="R427" s="1"/>
    </row>
    <row r="428" spans="1:18">
      <c r="A428" s="1"/>
      <c r="Q428" s="1"/>
      <c r="R428" s="1"/>
    </row>
    <row r="429" spans="1:18">
      <c r="A429" s="1"/>
      <c r="Q429" s="1"/>
      <c r="R429" s="1"/>
    </row>
    <row r="430" spans="1:18">
      <c r="A430" s="1"/>
      <c r="Q430" s="1"/>
      <c r="R430" s="1"/>
    </row>
    <row r="431" spans="1:18">
      <c r="A431" s="1"/>
      <c r="Q431" s="1"/>
      <c r="R431" s="1"/>
    </row>
    <row r="432" spans="1:18">
      <c r="A432" s="1"/>
      <c r="Q432" s="1"/>
      <c r="R432" s="1"/>
    </row>
    <row r="433" spans="1:18">
      <c r="A433" s="1"/>
      <c r="Q433" s="1"/>
      <c r="R433" s="1"/>
    </row>
    <row r="434" spans="1:18">
      <c r="A434" s="1"/>
      <c r="Q434" s="1"/>
      <c r="R434" s="1"/>
    </row>
    <row r="435" spans="1:18">
      <c r="A435" s="1"/>
      <c r="Q435" s="1"/>
      <c r="R435" s="1"/>
    </row>
    <row r="436" spans="1:18">
      <c r="A436" s="1"/>
      <c r="Q436" s="1"/>
      <c r="R436" s="1"/>
    </row>
    <row r="437" spans="1:18">
      <c r="A437" s="1"/>
      <c r="Q437" s="1"/>
      <c r="R437" s="1"/>
    </row>
    <row r="438" spans="1:18">
      <c r="A438" s="1"/>
      <c r="Q438" s="1"/>
      <c r="R438" s="1"/>
    </row>
    <row r="439" spans="1:18">
      <c r="A439" s="1"/>
      <c r="Q439" s="1"/>
      <c r="R439" s="1"/>
    </row>
    <row r="440" spans="1:18">
      <c r="A440" s="1"/>
      <c r="Q440" s="1"/>
      <c r="R440" s="1"/>
    </row>
    <row r="441" spans="1:18">
      <c r="A441" s="1"/>
      <c r="Q441" s="1"/>
      <c r="R441" s="1"/>
    </row>
    <row r="442" spans="1:18">
      <c r="A442" s="1"/>
      <c r="Q442" s="1"/>
      <c r="R442" s="1"/>
    </row>
    <row r="443" spans="1:18">
      <c r="A443" s="1"/>
      <c r="Q443" s="1"/>
      <c r="R443" s="1"/>
    </row>
    <row r="444" spans="1:18">
      <c r="A444" s="1"/>
      <c r="Q444" s="1"/>
      <c r="R444" s="1"/>
    </row>
    <row r="445" spans="1:18">
      <c r="A445" s="1"/>
      <c r="Q445" s="1"/>
      <c r="R445" s="1"/>
    </row>
    <row r="446" spans="1:18">
      <c r="A446" s="1"/>
      <c r="Q446" s="1"/>
      <c r="R446" s="1"/>
    </row>
    <row r="447" spans="1:18">
      <c r="A447" s="1"/>
      <c r="Q447" s="1"/>
      <c r="R447" s="1"/>
    </row>
    <row r="448" spans="1:18">
      <c r="A448" s="1"/>
      <c r="Q448" s="1"/>
      <c r="R448" s="1"/>
    </row>
    <row r="449" spans="1:18">
      <c r="A449" s="1"/>
      <c r="Q449" s="1"/>
      <c r="R449" s="1"/>
    </row>
    <row r="450" spans="1:18">
      <c r="A450" s="1"/>
      <c r="Q450" s="1"/>
      <c r="R450" s="1"/>
    </row>
    <row r="451" spans="1:18">
      <c r="A451" s="1"/>
      <c r="Q451" s="1"/>
      <c r="R451" s="1"/>
    </row>
    <row r="452" spans="1:18">
      <c r="A452" s="1"/>
      <c r="Q452" s="1"/>
      <c r="R452" s="1"/>
    </row>
    <row r="453" spans="1:18">
      <c r="A453" s="1"/>
      <c r="Q453" s="1"/>
      <c r="R453" s="1"/>
    </row>
    <row r="454" spans="1:18">
      <c r="A454" s="1"/>
      <c r="Q454" s="1"/>
      <c r="R454" s="1"/>
    </row>
    <row r="455" spans="1:18">
      <c r="A455" s="1"/>
      <c r="Q455" s="1"/>
      <c r="R455" s="1"/>
    </row>
    <row r="456" spans="1:18">
      <c r="A456" s="1"/>
      <c r="Q456" s="1"/>
      <c r="R456" s="1"/>
    </row>
    <row r="457" spans="1:18">
      <c r="A457" s="1"/>
      <c r="Q457" s="1"/>
      <c r="R457" s="1"/>
    </row>
    <row r="458" spans="1:18">
      <c r="A458" s="1"/>
      <c r="Q458" s="1"/>
      <c r="R458" s="1"/>
    </row>
    <row r="459" spans="1:18">
      <c r="A459" s="1"/>
      <c r="Q459" s="1"/>
      <c r="R459" s="1"/>
    </row>
    <row r="460" spans="1:18">
      <c r="A460" s="1"/>
      <c r="Q460" s="1"/>
      <c r="R460" s="1"/>
    </row>
    <row r="461" spans="1:18">
      <c r="A461" s="1"/>
      <c r="Q461" s="1"/>
      <c r="R461" s="1"/>
    </row>
    <row r="462" spans="1:18">
      <c r="A462" s="1"/>
      <c r="Q462" s="1"/>
      <c r="R462" s="1"/>
    </row>
    <row r="463" spans="1:18">
      <c r="A463" s="1"/>
      <c r="Q463" s="1"/>
      <c r="R463" s="1"/>
    </row>
    <row r="464" spans="1:18">
      <c r="A464" s="1"/>
      <c r="Q464" s="1"/>
      <c r="R464" s="1"/>
    </row>
    <row r="465" spans="1:18">
      <c r="A465" s="1"/>
      <c r="Q465" s="1"/>
      <c r="R465" s="1"/>
    </row>
    <row r="466" spans="1:18">
      <c r="A466" s="1"/>
      <c r="Q466" s="1"/>
      <c r="R466" s="1"/>
    </row>
    <row r="467" spans="1:18">
      <c r="A467" s="1"/>
      <c r="Q467" s="1"/>
      <c r="R467" s="1"/>
    </row>
    <row r="468" spans="1:18">
      <c r="A468" s="1"/>
      <c r="Q468" s="1"/>
      <c r="R468" s="1"/>
    </row>
    <row r="469" spans="1:18">
      <c r="A469" s="1"/>
      <c r="Q469" s="1"/>
      <c r="R469" s="1"/>
    </row>
    <row r="470" spans="1:18">
      <c r="A470" s="1"/>
      <c r="Q470" s="1"/>
      <c r="R470" s="1"/>
    </row>
    <row r="471" spans="1:18">
      <c r="A471" s="1"/>
      <c r="Q471" s="1"/>
      <c r="R471" s="1"/>
    </row>
    <row r="472" spans="1:18">
      <c r="A472" s="1"/>
      <c r="Q472" s="1"/>
      <c r="R472" s="1"/>
    </row>
    <row r="473" spans="1:18">
      <c r="A473" s="1"/>
      <c r="Q473" s="1"/>
      <c r="R473" s="1"/>
    </row>
    <row r="474" spans="1:18">
      <c r="A474" s="1"/>
      <c r="Q474" s="1"/>
      <c r="R474" s="1"/>
    </row>
    <row r="475" spans="1:18">
      <c r="A475" s="1"/>
      <c r="Q475" s="1"/>
      <c r="R475" s="1"/>
    </row>
    <row r="476" spans="1:18">
      <c r="A476" s="1"/>
      <c r="Q476" s="1"/>
      <c r="R476" s="1"/>
    </row>
    <row r="477" spans="1:18">
      <c r="A477" s="1"/>
      <c r="Q477" s="1"/>
      <c r="R477" s="1"/>
    </row>
    <row r="478" spans="1:18">
      <c r="A478" s="1"/>
      <c r="Q478" s="1"/>
      <c r="R478" s="1"/>
    </row>
    <row r="479" spans="1:18">
      <c r="A479" s="1"/>
      <c r="Q479" s="1"/>
      <c r="R479" s="1"/>
    </row>
    <row r="480" spans="1:18">
      <c r="A480" s="1"/>
      <c r="Q480" s="1"/>
      <c r="R480" s="1"/>
    </row>
    <row r="481" spans="1:18">
      <c r="A481" s="1"/>
      <c r="Q481" s="1"/>
      <c r="R481" s="1"/>
    </row>
    <row r="482" spans="1:18">
      <c r="A482" s="1"/>
      <c r="Q482" s="1"/>
      <c r="R482" s="1"/>
    </row>
    <row r="483" spans="1:18">
      <c r="A483" s="1"/>
      <c r="Q483" s="1"/>
      <c r="R483" s="1"/>
    </row>
    <row r="484" spans="1:18">
      <c r="A484" s="1"/>
      <c r="Q484" s="1"/>
      <c r="R484" s="1"/>
    </row>
    <row r="485" spans="1:18">
      <c r="A485" s="1"/>
      <c r="Q485" s="1"/>
      <c r="R485" s="1"/>
    </row>
    <row r="486" spans="1:18">
      <c r="A486" s="1"/>
      <c r="Q486" s="1"/>
      <c r="R486" s="1"/>
    </row>
    <row r="487" spans="1:18">
      <c r="A487" s="1"/>
      <c r="Q487" s="1"/>
      <c r="R487" s="1"/>
    </row>
    <row r="488" spans="1:18">
      <c r="A488" s="1"/>
      <c r="Q488" s="1"/>
      <c r="R488" s="1"/>
    </row>
    <row r="489" spans="1:18">
      <c r="A489" s="1"/>
      <c r="Q489" s="1"/>
      <c r="R489" s="1"/>
    </row>
    <row r="490" spans="1:18">
      <c r="A490" s="1"/>
      <c r="Q490" s="1"/>
      <c r="R490" s="1"/>
    </row>
    <row r="491" spans="1:18">
      <c r="A491" s="1"/>
      <c r="Q491" s="1"/>
      <c r="R491" s="1"/>
    </row>
    <row r="492" spans="1:18">
      <c r="A492" s="1"/>
      <c r="Q492" s="1"/>
      <c r="R492" s="1"/>
    </row>
    <row r="493" spans="1:18">
      <c r="A493" s="1"/>
      <c r="Q493" s="1"/>
      <c r="R493" s="1"/>
    </row>
    <row r="494" spans="1:18">
      <c r="A494" s="1"/>
      <c r="Q494" s="1"/>
      <c r="R494" s="1"/>
    </row>
    <row r="495" spans="1:18">
      <c r="A495" s="1"/>
      <c r="Q495" s="1"/>
      <c r="R495" s="1"/>
    </row>
    <row r="496" spans="1:18">
      <c r="A496" s="1"/>
      <c r="Q496" s="1"/>
      <c r="R496" s="1"/>
    </row>
    <row r="497" spans="1:18">
      <c r="A497" s="1"/>
      <c r="Q497" s="1"/>
      <c r="R497" s="1"/>
    </row>
    <row r="498" spans="1:18">
      <c r="A498" s="1"/>
      <c r="Q498" s="1"/>
      <c r="R498" s="1"/>
    </row>
    <row r="499" spans="1:18">
      <c r="A499" s="1"/>
      <c r="Q499" s="1"/>
      <c r="R499" s="1"/>
    </row>
    <row r="500" spans="1:18">
      <c r="A500" s="1"/>
      <c r="Q500" s="1"/>
      <c r="R500" s="1"/>
    </row>
    <row r="501" spans="1:18">
      <c r="A501" s="1"/>
      <c r="Q501" s="1"/>
      <c r="R501" s="1"/>
    </row>
    <row r="502" spans="1:18">
      <c r="A502" s="1"/>
      <c r="Q502" s="1"/>
      <c r="R502" s="1"/>
    </row>
    <row r="503" spans="1:18">
      <c r="A503" s="1"/>
      <c r="Q503" s="1"/>
      <c r="R503" s="1"/>
    </row>
    <row r="504" spans="1:18">
      <c r="A504" s="1"/>
      <c r="Q504" s="1"/>
      <c r="R504" s="1"/>
    </row>
    <row r="505" spans="1:18">
      <c r="A505" s="1"/>
      <c r="Q505" s="1"/>
      <c r="R505" s="1"/>
    </row>
    <row r="506" spans="1:18">
      <c r="A506" s="1"/>
      <c r="Q506" s="1"/>
      <c r="R506" s="1"/>
    </row>
    <row r="507" spans="1:18">
      <c r="A507" s="1"/>
      <c r="Q507" s="1"/>
      <c r="R507" s="1"/>
    </row>
    <row r="508" spans="1:18">
      <c r="A508" s="1"/>
      <c r="Q508" s="1"/>
      <c r="R508" s="1"/>
    </row>
    <row r="509" spans="1:18">
      <c r="A509" s="1"/>
      <c r="Q509" s="1"/>
      <c r="R509" s="1"/>
    </row>
    <row r="510" spans="1:18">
      <c r="A510" s="1"/>
      <c r="Q510" s="1"/>
      <c r="R510" s="1"/>
    </row>
    <row r="511" spans="1:18">
      <c r="A511" s="1"/>
      <c r="Q511" s="1"/>
      <c r="R511" s="1"/>
    </row>
    <row r="512" spans="1:18">
      <c r="A512" s="1"/>
      <c r="Q512" s="1"/>
      <c r="R512" s="1"/>
    </row>
    <row r="513" spans="1:18">
      <c r="A513" s="1"/>
      <c r="Q513" s="1"/>
      <c r="R513" s="1"/>
    </row>
    <row r="514" spans="1:18">
      <c r="A514" s="1"/>
      <c r="Q514" s="1"/>
      <c r="R514" s="1"/>
    </row>
    <row r="515" spans="1:18">
      <c r="A515" s="1"/>
      <c r="Q515" s="1"/>
      <c r="R515" s="1"/>
    </row>
    <row r="516" spans="1:18">
      <c r="A516" s="1"/>
      <c r="Q516" s="1"/>
      <c r="R516" s="1"/>
    </row>
    <row r="517" spans="1:18">
      <c r="A517" s="1"/>
      <c r="Q517" s="1"/>
      <c r="R517" s="1"/>
    </row>
    <row r="518" spans="1:18">
      <c r="A518" s="1"/>
      <c r="Q518" s="1"/>
      <c r="R518" s="1"/>
    </row>
    <row r="519" spans="1:18">
      <c r="A519" s="1"/>
      <c r="Q519" s="1"/>
      <c r="R519" s="1"/>
    </row>
    <row r="520" spans="1:18">
      <c r="A520" s="1"/>
      <c r="Q520" s="1"/>
      <c r="R520" s="1"/>
    </row>
    <row r="521" spans="1:18">
      <c r="A521" s="1"/>
      <c r="Q521" s="1"/>
      <c r="R521" s="1"/>
    </row>
    <row r="522" spans="1:18">
      <c r="A522" s="1"/>
      <c r="Q522" s="1"/>
      <c r="R522" s="1"/>
    </row>
    <row r="523" spans="1:18">
      <c r="A523" s="1"/>
      <c r="Q523" s="1"/>
      <c r="R523" s="1"/>
    </row>
    <row r="524" spans="1:18">
      <c r="A524" s="1"/>
      <c r="Q524" s="1"/>
      <c r="R524" s="1"/>
    </row>
    <row r="525" spans="1:18">
      <c r="A525" s="1"/>
      <c r="Q525" s="1"/>
      <c r="R525" s="1"/>
    </row>
    <row r="526" spans="1:18">
      <c r="A526" s="1"/>
      <c r="Q526" s="1"/>
      <c r="R526" s="1"/>
    </row>
    <row r="527" spans="1:18">
      <c r="A527" s="1"/>
      <c r="Q527" s="1"/>
      <c r="R527" s="1"/>
    </row>
    <row r="528" spans="1:18">
      <c r="A528" s="1"/>
      <c r="Q528" s="1"/>
      <c r="R528" s="1"/>
    </row>
    <row r="529" spans="1:18">
      <c r="A529" s="1"/>
      <c r="Q529" s="1"/>
      <c r="R529" s="1"/>
    </row>
    <row r="530" spans="1:18">
      <c r="A530" s="1"/>
      <c r="Q530" s="1"/>
      <c r="R530" s="1"/>
    </row>
    <row r="531" spans="1:18">
      <c r="A531" s="1"/>
      <c r="Q531" s="1"/>
      <c r="R531" s="1"/>
    </row>
    <row r="532" spans="1:18">
      <c r="A532" s="1"/>
      <c r="Q532" s="1"/>
      <c r="R532" s="1"/>
    </row>
    <row r="533" spans="1:18">
      <c r="A533" s="1"/>
      <c r="Q533" s="1"/>
      <c r="R533" s="1"/>
    </row>
    <row r="534" spans="1:18">
      <c r="A534" s="1"/>
      <c r="Q534" s="1"/>
      <c r="R534" s="1"/>
    </row>
    <row r="535" spans="1:18">
      <c r="A535" s="1"/>
      <c r="Q535" s="1"/>
      <c r="R535" s="1"/>
    </row>
    <row r="536" spans="1:18">
      <c r="A536" s="1"/>
      <c r="Q536" s="1"/>
      <c r="R536" s="1"/>
    </row>
    <row r="537" spans="1:18">
      <c r="A537" s="1"/>
      <c r="Q537" s="1"/>
      <c r="R537" s="1"/>
    </row>
    <row r="538" spans="1:18">
      <c r="A538" s="1"/>
      <c r="Q538" s="1"/>
      <c r="R538" s="1"/>
    </row>
    <row r="539" spans="1:18">
      <c r="A539" s="1"/>
      <c r="Q539" s="1"/>
      <c r="R539" s="1"/>
    </row>
    <row r="540" spans="1:18">
      <c r="A540" s="1"/>
      <c r="Q540" s="1"/>
      <c r="R540" s="1"/>
    </row>
    <row r="541" spans="1:18">
      <c r="A541" s="1"/>
      <c r="Q541" s="1"/>
      <c r="R541" s="1"/>
    </row>
    <row r="542" spans="1:18">
      <c r="A542" s="1"/>
      <c r="Q542" s="1"/>
      <c r="R542" s="1"/>
    </row>
    <row r="543" spans="1:18">
      <c r="A543" s="1"/>
      <c r="Q543" s="1"/>
      <c r="R543" s="1"/>
    </row>
    <row r="544" spans="1:18">
      <c r="A544" s="1"/>
      <c r="Q544" s="1"/>
      <c r="R544" s="1"/>
    </row>
    <row r="545" spans="1:18">
      <c r="A545" s="1"/>
      <c r="Q545" s="1"/>
      <c r="R545" s="1"/>
    </row>
    <row r="546" spans="1:18">
      <c r="A546" s="1"/>
      <c r="Q546" s="1"/>
      <c r="R546" s="1"/>
    </row>
    <row r="547" spans="1:18">
      <c r="A547" s="1"/>
      <c r="Q547" s="1"/>
      <c r="R547" s="1"/>
    </row>
    <row r="548" spans="1:18">
      <c r="A548" s="1"/>
      <c r="Q548" s="1"/>
      <c r="R548" s="1"/>
    </row>
    <row r="549" spans="1:18">
      <c r="A549" s="1"/>
      <c r="Q549" s="1"/>
      <c r="R549" s="1"/>
    </row>
    <row r="550" spans="1:18">
      <c r="A550" s="1"/>
      <c r="Q550" s="1"/>
      <c r="R550" s="1"/>
    </row>
    <row r="551" spans="1:18">
      <c r="A551" s="1"/>
      <c r="Q551" s="1"/>
      <c r="R551" s="1"/>
    </row>
    <row r="552" spans="1:18">
      <c r="A552" s="1"/>
      <c r="Q552" s="1"/>
      <c r="R552" s="1"/>
    </row>
    <row r="553" spans="1:18">
      <c r="A553" s="1"/>
      <c r="Q553" s="1"/>
      <c r="R553" s="1"/>
    </row>
    <row r="554" spans="1:18">
      <c r="A554" s="1"/>
      <c r="Q554" s="1"/>
      <c r="R554" s="1"/>
    </row>
    <row r="555" spans="1:18">
      <c r="A555" s="1"/>
      <c r="Q555" s="1"/>
      <c r="R555" s="1"/>
    </row>
    <row r="556" spans="1:18">
      <c r="A556" s="1"/>
      <c r="Q556" s="1"/>
      <c r="R556" s="1"/>
    </row>
    <row r="557" spans="1:18">
      <c r="A557" s="1"/>
      <c r="Q557" s="1"/>
      <c r="R557" s="1"/>
    </row>
    <row r="558" spans="1:18">
      <c r="A558" s="1"/>
      <c r="Q558" s="1"/>
      <c r="R558" s="1"/>
    </row>
    <row r="559" spans="1:18">
      <c r="A559" s="1"/>
      <c r="Q559" s="1"/>
      <c r="R559" s="1"/>
    </row>
    <row r="560" spans="1:18">
      <c r="A560" s="1"/>
      <c r="Q560" s="1"/>
      <c r="R560" s="1"/>
    </row>
    <row r="561" spans="1:18">
      <c r="A561" s="1"/>
      <c r="Q561" s="1"/>
      <c r="R561" s="1"/>
    </row>
    <row r="562" spans="1:18">
      <c r="A562" s="1"/>
      <c r="Q562" s="1"/>
      <c r="R562" s="1"/>
    </row>
    <row r="563" spans="1:18">
      <c r="A563" s="1"/>
      <c r="Q563" s="1"/>
      <c r="R563" s="1"/>
    </row>
    <row r="564" spans="1:18">
      <c r="A564" s="1"/>
      <c r="Q564" s="1"/>
      <c r="R564" s="1"/>
    </row>
    <row r="565" spans="1:18">
      <c r="A565" s="1"/>
      <c r="Q565" s="1"/>
      <c r="R565" s="1"/>
    </row>
    <row r="566" spans="1:18">
      <c r="A566" s="1"/>
      <c r="Q566" s="1"/>
      <c r="R566" s="1"/>
    </row>
    <row r="567" spans="1:18">
      <c r="A567" s="1"/>
      <c r="Q567" s="1"/>
      <c r="R567" s="1"/>
    </row>
    <row r="568" spans="1:18">
      <c r="A568" s="1"/>
      <c r="Q568" s="1"/>
      <c r="R568" s="1"/>
    </row>
    <row r="569" spans="1:18">
      <c r="A569" s="1"/>
      <c r="Q569" s="1"/>
      <c r="R569" s="1"/>
    </row>
    <row r="570" spans="1:18">
      <c r="A570" s="1"/>
      <c r="Q570" s="1"/>
      <c r="R570" s="1"/>
    </row>
    <row r="571" spans="1:18">
      <c r="A571" s="1"/>
      <c r="Q571" s="1"/>
      <c r="R571" s="1"/>
    </row>
    <row r="572" spans="1:18">
      <c r="A572" s="1"/>
      <c r="Q572" s="1"/>
      <c r="R572" s="1"/>
    </row>
    <row r="573" spans="1:18">
      <c r="A573" s="1"/>
      <c r="Q573" s="1"/>
      <c r="R573" s="1"/>
    </row>
    <row r="574" spans="1:18">
      <c r="A574" s="1"/>
      <c r="Q574" s="1"/>
      <c r="R574" s="1"/>
    </row>
    <row r="575" spans="1:18">
      <c r="A575" s="1"/>
      <c r="Q575" s="1"/>
      <c r="R575" s="1"/>
    </row>
    <row r="576" spans="1:18">
      <c r="A576" s="1"/>
      <c r="Q576" s="1"/>
      <c r="R576" s="1"/>
    </row>
    <row r="577" spans="1:18">
      <c r="A577" s="1"/>
      <c r="Q577" s="1"/>
      <c r="R577" s="1"/>
    </row>
    <row r="578" spans="1:18">
      <c r="A578" s="1"/>
      <c r="Q578" s="1"/>
      <c r="R578" s="1"/>
    </row>
    <row r="579" spans="1:18">
      <c r="A579" s="1"/>
      <c r="Q579" s="1"/>
      <c r="R579" s="1"/>
    </row>
    <row r="580" spans="1:18">
      <c r="A580" s="1"/>
      <c r="Q580" s="1"/>
      <c r="R580" s="1"/>
    </row>
    <row r="581" spans="1:18">
      <c r="A581" s="1"/>
      <c r="Q581" s="1"/>
      <c r="R581" s="1"/>
    </row>
    <row r="582" spans="1:18">
      <c r="A582" s="1"/>
      <c r="Q582" s="1"/>
      <c r="R582" s="1"/>
    </row>
    <row r="583" spans="1:18">
      <c r="A583" s="1"/>
      <c r="Q583" s="1"/>
      <c r="R583" s="1"/>
    </row>
    <row r="584" spans="1:18">
      <c r="A584" s="1"/>
      <c r="Q584" s="1"/>
      <c r="R584" s="1"/>
    </row>
    <row r="585" spans="1:18">
      <c r="A585" s="1"/>
      <c r="Q585" s="1"/>
      <c r="R585" s="1"/>
    </row>
    <row r="586" spans="1:18">
      <c r="A586" s="1"/>
      <c r="Q586" s="1"/>
      <c r="R586" s="1"/>
    </row>
    <row r="587" spans="1:18">
      <c r="A587" s="1"/>
      <c r="Q587" s="1"/>
      <c r="R587" s="1"/>
    </row>
    <row r="588" spans="1:18">
      <c r="A588" s="1"/>
      <c r="Q588" s="1"/>
      <c r="R588" s="1"/>
    </row>
    <row r="589" spans="1:18">
      <c r="A589" s="1"/>
      <c r="Q589" s="1"/>
      <c r="R589" s="1"/>
    </row>
    <row r="590" spans="1:18">
      <c r="A590" s="1"/>
      <c r="Q590" s="1"/>
      <c r="R590" s="1"/>
    </row>
    <row r="591" spans="1:18">
      <c r="A591" s="1"/>
      <c r="Q591" s="1"/>
      <c r="R591" s="1"/>
    </row>
    <row r="592" spans="1:18">
      <c r="A592" s="1"/>
      <c r="Q592" s="1"/>
      <c r="R592" s="1"/>
    </row>
    <row r="593" spans="1:18">
      <c r="A593" s="1"/>
      <c r="Q593" s="1"/>
      <c r="R593" s="1"/>
    </row>
    <row r="594" spans="1:18">
      <c r="A594" s="1"/>
      <c r="Q594" s="1"/>
      <c r="R594" s="1"/>
    </row>
    <row r="595" spans="1:18">
      <c r="A595" s="1"/>
      <c r="Q595" s="1"/>
      <c r="R595" s="1"/>
    </row>
    <row r="596" spans="1:18">
      <c r="A596" s="1"/>
      <c r="Q596" s="1"/>
      <c r="R596" s="1"/>
    </row>
    <row r="597" spans="1:18">
      <c r="A597" s="1"/>
      <c r="Q597" s="1"/>
      <c r="R597" s="1"/>
    </row>
    <row r="598" spans="1:18">
      <c r="A598" s="1"/>
      <c r="Q598" s="1"/>
      <c r="R598" s="1"/>
    </row>
    <row r="599" spans="1:18">
      <c r="A599" s="1"/>
      <c r="Q599" s="1"/>
      <c r="R599" s="1"/>
    </row>
    <row r="600" spans="1:18">
      <c r="A600" s="1"/>
      <c r="Q600" s="1"/>
      <c r="R600" s="1"/>
    </row>
    <row r="601" spans="1:18">
      <c r="A601" s="1"/>
      <c r="Q601" s="1"/>
      <c r="R601" s="1"/>
    </row>
    <row r="602" spans="1:18">
      <c r="A602" s="1"/>
      <c r="Q602" s="1"/>
      <c r="R602" s="1"/>
    </row>
    <row r="603" spans="1:18">
      <c r="A603" s="1"/>
      <c r="Q603" s="1"/>
      <c r="R603" s="1"/>
    </row>
    <row r="604" spans="1:18">
      <c r="A604" s="1"/>
      <c r="Q604" s="1"/>
      <c r="R604" s="1"/>
    </row>
    <row r="605" spans="1:18">
      <c r="A605" s="1"/>
      <c r="Q605" s="1"/>
      <c r="R605" s="1"/>
    </row>
    <row r="606" spans="1:18">
      <c r="A606" s="1"/>
      <c r="Q606" s="1"/>
      <c r="R606" s="1"/>
    </row>
    <row r="607" spans="1:18">
      <c r="A607" s="1"/>
      <c r="Q607" s="1"/>
      <c r="R607" s="1"/>
    </row>
    <row r="608" spans="1:18">
      <c r="A608" s="1"/>
      <c r="Q608" s="1"/>
      <c r="R608" s="1"/>
    </row>
    <row r="609" spans="1:18">
      <c r="A609" s="1"/>
      <c r="Q609" s="1"/>
      <c r="R609" s="1"/>
    </row>
    <row r="610" spans="1:18">
      <c r="A610" s="1"/>
      <c r="Q610" s="1"/>
      <c r="R610" s="1"/>
    </row>
    <row r="611" spans="1:18">
      <c r="A611" s="1"/>
      <c r="Q611" s="1"/>
      <c r="R611" s="1"/>
    </row>
    <row r="612" spans="1:18">
      <c r="A612" s="1"/>
      <c r="Q612" s="1"/>
      <c r="R612" s="1"/>
    </row>
    <row r="613" spans="1:18">
      <c r="A613" s="1"/>
      <c r="Q613" s="1"/>
      <c r="R613" s="1"/>
    </row>
    <row r="614" spans="1:18">
      <c r="A614" s="1"/>
      <c r="Q614" s="1"/>
      <c r="R614" s="1"/>
    </row>
    <row r="615" spans="1:18">
      <c r="A615" s="1"/>
      <c r="Q615" s="1"/>
      <c r="R615" s="1"/>
    </row>
    <row r="616" spans="1:18">
      <c r="A616" s="1"/>
      <c r="Q616" s="1"/>
      <c r="R616" s="1"/>
    </row>
    <row r="617" spans="1:18">
      <c r="A617" s="1"/>
      <c r="Q617" s="1"/>
      <c r="R617" s="1"/>
    </row>
    <row r="618" spans="1:18">
      <c r="A618" s="1"/>
      <c r="Q618" s="1"/>
      <c r="R618" s="1"/>
    </row>
    <row r="619" spans="1:18">
      <c r="A619" s="1"/>
      <c r="Q619" s="1"/>
      <c r="R619" s="1"/>
    </row>
    <row r="620" spans="1:18">
      <c r="A620" s="1"/>
      <c r="Q620" s="1"/>
      <c r="R620" s="1"/>
    </row>
    <row r="621" spans="1:18">
      <c r="A621" s="1"/>
      <c r="Q621" s="1"/>
      <c r="R621" s="1"/>
    </row>
    <row r="622" spans="1:18">
      <c r="A622" s="1"/>
      <c r="Q622" s="1"/>
      <c r="R622" s="1"/>
    </row>
    <row r="623" spans="1:18">
      <c r="A623" s="1"/>
      <c r="Q623" s="1"/>
      <c r="R623" s="1"/>
    </row>
    <row r="624" spans="1:18">
      <c r="A624" s="1"/>
      <c r="Q624" s="1"/>
      <c r="R624" s="1"/>
    </row>
    <row r="625" spans="1:18">
      <c r="A625" s="1"/>
      <c r="Q625" s="1"/>
      <c r="R625" s="1"/>
    </row>
    <row r="626" spans="1:18">
      <c r="A626" s="1"/>
      <c r="Q626" s="1"/>
      <c r="R626" s="1"/>
    </row>
    <row r="627" spans="1:18">
      <c r="A627" s="1"/>
      <c r="Q627" s="1"/>
      <c r="R627" s="1"/>
    </row>
    <row r="628" spans="1:18">
      <c r="A628" s="1"/>
      <c r="Q628" s="1"/>
      <c r="R628" s="1"/>
    </row>
    <row r="629" spans="1:18">
      <c r="A629" s="1"/>
      <c r="Q629" s="1"/>
      <c r="R629" s="1"/>
    </row>
    <row r="630" spans="1:18">
      <c r="A630" s="1"/>
      <c r="Q630" s="1"/>
      <c r="R630" s="1"/>
    </row>
    <row r="631" spans="1:18">
      <c r="A631" s="1"/>
      <c r="Q631" s="1"/>
      <c r="R631" s="1"/>
    </row>
    <row r="632" spans="1:18">
      <c r="A632" s="1"/>
      <c r="Q632" s="1"/>
      <c r="R632" s="1"/>
    </row>
    <row r="633" spans="1:18">
      <c r="A633" s="1"/>
      <c r="Q633" s="1"/>
      <c r="R633" s="1"/>
    </row>
    <row r="634" spans="1:18">
      <c r="A634" s="1"/>
      <c r="Q634" s="1"/>
      <c r="R634" s="1"/>
    </row>
    <row r="635" spans="1:18">
      <c r="A635" s="1"/>
      <c r="Q635" s="1"/>
      <c r="R635" s="1"/>
    </row>
    <row r="636" spans="1:18">
      <c r="A636" s="1"/>
      <c r="Q636" s="1"/>
      <c r="R636" s="1"/>
    </row>
    <row r="637" spans="1:18">
      <c r="A637" s="1"/>
      <c r="Q637" s="1"/>
      <c r="R637" s="1"/>
    </row>
    <row r="638" spans="1:18">
      <c r="A638" s="1"/>
      <c r="Q638" s="1"/>
      <c r="R638" s="1"/>
    </row>
    <row r="639" spans="1:18">
      <c r="A639" s="1"/>
      <c r="Q639" s="1"/>
      <c r="R639" s="1"/>
    </row>
    <row r="640" spans="1:18">
      <c r="A640" s="1"/>
      <c r="Q640" s="1"/>
      <c r="R640" s="1"/>
    </row>
    <row r="641" spans="1:18">
      <c r="A641" s="1"/>
      <c r="Q641" s="1"/>
      <c r="R641" s="1"/>
    </row>
    <row r="642" spans="1:18">
      <c r="A642" s="1"/>
      <c r="Q642" s="1"/>
      <c r="R642" s="1"/>
    </row>
    <row r="643" spans="1:18">
      <c r="A643" s="1"/>
      <c r="Q643" s="1"/>
      <c r="R643" s="1"/>
    </row>
    <row r="644" spans="1:18">
      <c r="A644" s="1"/>
      <c r="Q644" s="1"/>
      <c r="R644" s="1"/>
    </row>
    <row r="645" spans="1:18">
      <c r="A645" s="1"/>
      <c r="Q645" s="1"/>
      <c r="R645" s="1"/>
    </row>
    <row r="646" spans="1:18">
      <c r="A646" s="1"/>
      <c r="Q646" s="1"/>
      <c r="R646" s="1"/>
    </row>
    <row r="647" spans="1:18">
      <c r="A647" s="1"/>
      <c r="Q647" s="1"/>
      <c r="R647" s="1"/>
    </row>
    <row r="648" spans="1:18">
      <c r="A648" s="1"/>
      <c r="Q648" s="1"/>
      <c r="R648" s="1"/>
    </row>
    <row r="649" spans="1:18">
      <c r="A649" s="1"/>
      <c r="Q649" s="1"/>
      <c r="R649" s="1"/>
    </row>
    <row r="650" spans="1:18">
      <c r="A650" s="1"/>
      <c r="Q650" s="1"/>
      <c r="R650" s="1"/>
    </row>
    <row r="651" spans="1:18">
      <c r="A651" s="1"/>
      <c r="Q651" s="1"/>
      <c r="R651" s="1"/>
    </row>
    <row r="652" spans="1:18">
      <c r="A652" s="1"/>
      <c r="Q652" s="1"/>
      <c r="R652" s="1"/>
    </row>
    <row r="653" spans="1:18">
      <c r="A653" s="1"/>
      <c r="Q653" s="1"/>
      <c r="R653" s="1"/>
    </row>
    <row r="654" spans="1:18">
      <c r="A654" s="1"/>
      <c r="Q654" s="1"/>
      <c r="R654" s="1"/>
    </row>
    <row r="655" spans="1:18">
      <c r="A655" s="1"/>
      <c r="Q655" s="1"/>
      <c r="R655" s="1"/>
    </row>
    <row r="656" spans="1:18">
      <c r="A656" s="1"/>
      <c r="Q656" s="1"/>
      <c r="R656" s="1"/>
    </row>
    <row r="657" spans="1:18">
      <c r="A657" s="1"/>
      <c r="Q657" s="1"/>
      <c r="R657" s="1"/>
    </row>
    <row r="658" spans="1:18">
      <c r="A658" s="1"/>
      <c r="Q658" s="1"/>
      <c r="R658" s="1"/>
    </row>
    <row r="659" spans="1:18">
      <c r="A659" s="1"/>
      <c r="Q659" s="1"/>
      <c r="R659" s="1"/>
    </row>
    <row r="660" spans="1:18">
      <c r="A660" s="1"/>
      <c r="Q660" s="1"/>
      <c r="R660" s="1"/>
    </row>
    <row r="661" spans="1:18">
      <c r="A661" s="1"/>
      <c r="Q661" s="1"/>
      <c r="R661" s="1"/>
    </row>
    <row r="662" spans="1:18">
      <c r="A662" s="1"/>
      <c r="Q662" s="1"/>
      <c r="R662" s="1"/>
    </row>
    <row r="663" spans="1:18">
      <c r="A663" s="1"/>
      <c r="Q663" s="1"/>
      <c r="R663" s="1"/>
    </row>
    <row r="664" spans="1:18">
      <c r="A664" s="1"/>
      <c r="Q664" s="1"/>
      <c r="R664" s="1"/>
    </row>
    <row r="665" spans="1:18">
      <c r="A665" s="1"/>
      <c r="Q665" s="1"/>
      <c r="R665" s="1"/>
    </row>
    <row r="666" spans="1:18">
      <c r="A666" s="1"/>
      <c r="Q666" s="1"/>
      <c r="R666" s="1"/>
    </row>
    <row r="667" spans="1:18">
      <c r="A667" s="1"/>
      <c r="Q667" s="1"/>
      <c r="R667" s="1"/>
    </row>
    <row r="668" spans="1:18">
      <c r="A668" s="1"/>
      <c r="Q668" s="1"/>
      <c r="R668" s="1"/>
    </row>
    <row r="669" spans="1:18">
      <c r="A669" s="1"/>
      <c r="Q669" s="1"/>
      <c r="R669" s="1"/>
    </row>
    <row r="670" spans="1:18">
      <c r="A670" s="1"/>
      <c r="Q670" s="1"/>
      <c r="R670" s="1"/>
    </row>
    <row r="671" spans="1:18">
      <c r="A671" s="1"/>
      <c r="Q671" s="1"/>
      <c r="R671" s="1"/>
    </row>
    <row r="672" spans="1:18">
      <c r="A672" s="1"/>
      <c r="Q672" s="1"/>
      <c r="R672" s="1"/>
    </row>
    <row r="673" spans="1:18">
      <c r="A673" s="1"/>
      <c r="Q673" s="1"/>
      <c r="R673" s="1"/>
    </row>
    <row r="674" spans="1:18">
      <c r="A674" s="1"/>
      <c r="Q674" s="1"/>
      <c r="R674" s="1"/>
    </row>
    <row r="675" spans="1:18">
      <c r="A675" s="1"/>
      <c r="Q675" s="1"/>
      <c r="R675" s="1"/>
    </row>
    <row r="676" spans="1:18">
      <c r="A676" s="1"/>
      <c r="Q676" s="1"/>
      <c r="R676" s="1"/>
    </row>
    <row r="677" spans="1:18">
      <c r="A677" s="1"/>
      <c r="Q677" s="1"/>
      <c r="R677" s="1"/>
    </row>
    <row r="678" spans="1:18">
      <c r="A678" s="1"/>
      <c r="Q678" s="1"/>
      <c r="R678" s="1"/>
    </row>
    <row r="679" spans="1:18">
      <c r="A679" s="1"/>
      <c r="Q679" s="1"/>
      <c r="R679" s="1"/>
    </row>
    <row r="680" spans="1:18">
      <c r="A680" s="1"/>
      <c r="Q680" s="1"/>
      <c r="R680" s="1"/>
    </row>
    <row r="681" spans="1:18">
      <c r="A681" s="1"/>
      <c r="Q681" s="1"/>
      <c r="R681" s="1"/>
    </row>
    <row r="682" spans="1:18">
      <c r="A682" s="1"/>
      <c r="Q682" s="1"/>
      <c r="R682" s="1"/>
    </row>
    <row r="683" spans="1:18">
      <c r="A683" s="1"/>
      <c r="Q683" s="1"/>
      <c r="R683" s="1"/>
    </row>
    <row r="684" spans="1:18">
      <c r="A684" s="1"/>
      <c r="Q684" s="1"/>
      <c r="R684" s="1"/>
    </row>
    <row r="685" spans="1:18">
      <c r="A685" s="1"/>
      <c r="Q685" s="1"/>
      <c r="R685" s="1"/>
    </row>
    <row r="686" spans="1:18">
      <c r="A686" s="1"/>
      <c r="Q686" s="1"/>
      <c r="R686" s="1"/>
    </row>
    <row r="687" spans="1:18">
      <c r="A687" s="1"/>
      <c r="Q687" s="1"/>
      <c r="R687" s="1"/>
    </row>
    <row r="688" spans="1:18">
      <c r="A688" s="1"/>
      <c r="Q688" s="1"/>
      <c r="R688" s="1"/>
    </row>
    <row r="689" spans="1:18">
      <c r="A689" s="1"/>
      <c r="Q689" s="1"/>
      <c r="R689" s="1"/>
    </row>
    <row r="690" spans="1:18">
      <c r="A690" s="1"/>
      <c r="Q690" s="1"/>
      <c r="R690" s="1"/>
    </row>
    <row r="691" spans="1:18">
      <c r="A691" s="1"/>
      <c r="Q691" s="1"/>
      <c r="R691" s="1"/>
    </row>
    <row r="692" spans="1:18">
      <c r="A692" s="1"/>
      <c r="Q692" s="1"/>
      <c r="R692" s="1"/>
    </row>
    <row r="693" spans="1:18">
      <c r="A693" s="1"/>
      <c r="Q693" s="1"/>
      <c r="R693" s="1"/>
    </row>
    <row r="694" spans="1:18">
      <c r="A694" s="1"/>
      <c r="Q694" s="1"/>
      <c r="R694" s="1"/>
    </row>
    <row r="695" spans="1:18">
      <c r="A695" s="1"/>
      <c r="Q695" s="1"/>
      <c r="R695" s="1"/>
    </row>
    <row r="696" spans="1:18">
      <c r="A696" s="1"/>
      <c r="Q696" s="1"/>
      <c r="R696" s="1"/>
    </row>
    <row r="697" spans="1:18">
      <c r="A697" s="1"/>
      <c r="Q697" s="1"/>
      <c r="R697" s="1"/>
    </row>
    <row r="698" spans="1:18">
      <c r="A698" s="1"/>
      <c r="Q698" s="1"/>
      <c r="R698" s="1"/>
    </row>
    <row r="699" spans="1:18">
      <c r="A699" s="1"/>
      <c r="Q699" s="1"/>
      <c r="R699" s="1"/>
    </row>
    <row r="700" spans="1:18">
      <c r="A700" s="1"/>
      <c r="Q700" s="1"/>
      <c r="R700" s="1"/>
    </row>
    <row r="701" spans="1:18">
      <c r="A701" s="1"/>
      <c r="Q701" s="1"/>
      <c r="R701" s="1"/>
    </row>
    <row r="702" spans="1:18">
      <c r="A702" s="1"/>
      <c r="Q702" s="1"/>
      <c r="R702" s="1"/>
    </row>
    <row r="703" spans="1:18">
      <c r="A703" s="1"/>
      <c r="Q703" s="1"/>
      <c r="R703" s="1"/>
    </row>
    <row r="704" spans="1:18">
      <c r="A704" s="1"/>
      <c r="Q704" s="1"/>
      <c r="R704" s="1"/>
    </row>
    <row r="705" spans="1:18">
      <c r="A705" s="1"/>
      <c r="Q705" s="1"/>
      <c r="R705" s="1"/>
    </row>
    <row r="706" spans="1:18">
      <c r="A706" s="1"/>
      <c r="Q706" s="1"/>
      <c r="R706" s="1"/>
    </row>
    <row r="707" spans="1:18">
      <c r="A707" s="1"/>
      <c r="Q707" s="1"/>
      <c r="R707" s="1"/>
    </row>
    <row r="708" spans="1:18">
      <c r="A708" s="1"/>
      <c r="Q708" s="1"/>
      <c r="R708" s="1"/>
    </row>
    <row r="709" spans="1:18">
      <c r="A709" s="1"/>
      <c r="Q709" s="1"/>
      <c r="R709" s="1"/>
    </row>
    <row r="710" spans="1:18">
      <c r="A710" s="1"/>
      <c r="Q710" s="1"/>
      <c r="R710" s="1"/>
    </row>
    <row r="711" spans="1:18">
      <c r="A711" s="1"/>
      <c r="Q711" s="1"/>
      <c r="R711" s="1"/>
    </row>
    <row r="712" spans="1:18">
      <c r="A712" s="1"/>
      <c r="Q712" s="1"/>
      <c r="R712" s="1"/>
    </row>
    <row r="713" spans="1:18">
      <c r="A713" s="1"/>
      <c r="Q713" s="1"/>
      <c r="R713" s="1"/>
    </row>
    <row r="714" spans="1:18">
      <c r="A714" s="1"/>
      <c r="Q714" s="1"/>
      <c r="R714" s="1"/>
    </row>
    <row r="715" spans="1:18">
      <c r="A715" s="1"/>
      <c r="Q715" s="1"/>
      <c r="R715" s="1"/>
    </row>
    <row r="716" spans="1:18">
      <c r="A716" s="1"/>
      <c r="Q716" s="1"/>
      <c r="R716" s="1"/>
    </row>
    <row r="717" spans="1:18">
      <c r="A717" s="1"/>
      <c r="Q717" s="1"/>
      <c r="R717" s="1"/>
    </row>
    <row r="718" spans="1:18">
      <c r="A718" s="1"/>
      <c r="Q718" s="1"/>
      <c r="R718" s="1"/>
    </row>
    <row r="719" spans="1:18">
      <c r="A719" s="1"/>
      <c r="Q719" s="1"/>
      <c r="R719" s="1"/>
    </row>
    <row r="720" spans="1:18">
      <c r="A720" s="1"/>
      <c r="Q720" s="1"/>
      <c r="R720" s="1"/>
    </row>
    <row r="721" spans="1:18">
      <c r="A721" s="1"/>
      <c r="Q721" s="1"/>
      <c r="R721" s="1"/>
    </row>
    <row r="722" spans="1:18">
      <c r="A722" s="1"/>
      <c r="Q722" s="1"/>
      <c r="R722" s="1"/>
    </row>
    <row r="723" spans="1:18">
      <c r="A723" s="1"/>
      <c r="Q723" s="1"/>
      <c r="R723" s="1"/>
    </row>
    <row r="724" spans="1:18">
      <c r="A724" s="1"/>
      <c r="Q724" s="1"/>
      <c r="R724" s="1"/>
    </row>
    <row r="725" spans="1:18">
      <c r="A725" s="1"/>
      <c r="Q725" s="1"/>
      <c r="R725" s="1"/>
    </row>
    <row r="726" spans="1:18">
      <c r="A726" s="1"/>
      <c r="Q726" s="1"/>
      <c r="R726" s="1"/>
    </row>
    <row r="727" spans="1:18">
      <c r="A727" s="1"/>
      <c r="Q727" s="1"/>
      <c r="R727" s="1"/>
    </row>
    <row r="728" spans="1:18">
      <c r="A728" s="1"/>
      <c r="Q728" s="1"/>
      <c r="R728" s="1"/>
    </row>
    <row r="729" spans="1:18">
      <c r="A729" s="1"/>
      <c r="Q729" s="1"/>
      <c r="R729" s="1"/>
    </row>
    <row r="730" spans="1:18">
      <c r="A730" s="1"/>
      <c r="Q730" s="1"/>
      <c r="R730" s="1"/>
    </row>
    <row r="731" spans="1:18">
      <c r="A731" s="1"/>
      <c r="Q731" s="1"/>
      <c r="R731" s="1"/>
    </row>
    <row r="732" spans="1:18">
      <c r="A732" s="1"/>
      <c r="Q732" s="1"/>
      <c r="R732" s="1"/>
    </row>
    <row r="733" spans="1:18">
      <c r="A733" s="1"/>
      <c r="Q733" s="1"/>
      <c r="R733" s="1"/>
    </row>
    <row r="734" spans="1:18">
      <c r="A734" s="1"/>
      <c r="Q734" s="1"/>
      <c r="R734" s="1"/>
    </row>
    <row r="735" spans="1:18">
      <c r="A735" s="1"/>
      <c r="Q735" s="1"/>
      <c r="R735" s="1"/>
    </row>
    <row r="736" spans="1:18">
      <c r="A736" s="1"/>
      <c r="Q736" s="1"/>
      <c r="R736" s="1"/>
    </row>
    <row r="737" spans="1:18">
      <c r="A737" s="1"/>
      <c r="Q737" s="1"/>
      <c r="R737" s="1"/>
    </row>
    <row r="738" spans="1:18">
      <c r="A738" s="1"/>
      <c r="Q738" s="1"/>
      <c r="R738" s="1"/>
    </row>
    <row r="739" spans="1:18">
      <c r="A739" s="1"/>
      <c r="Q739" s="1"/>
      <c r="R739" s="1"/>
    </row>
    <row r="740" spans="1:18">
      <c r="A740" s="1"/>
      <c r="Q740" s="1"/>
      <c r="R740" s="1"/>
    </row>
    <row r="741" spans="1:18">
      <c r="A741" s="1"/>
      <c r="Q741" s="1"/>
      <c r="R741" s="1"/>
    </row>
    <row r="742" spans="1:18">
      <c r="A742" s="1"/>
      <c r="Q742" s="1"/>
      <c r="R742" s="1"/>
    </row>
    <row r="743" spans="1:18">
      <c r="A743" s="1"/>
      <c r="Q743" s="1"/>
      <c r="R743" s="1"/>
    </row>
    <row r="744" spans="1:18">
      <c r="A744" s="1"/>
      <c r="Q744" s="1"/>
      <c r="R744" s="1"/>
    </row>
    <row r="745" spans="1:18">
      <c r="A745" s="1"/>
      <c r="Q745" s="1"/>
      <c r="R745" s="1"/>
    </row>
    <row r="746" spans="1:18">
      <c r="A746" s="1"/>
      <c r="Q746" s="1"/>
      <c r="R746" s="1"/>
    </row>
    <row r="747" spans="1:18">
      <c r="A747" s="1"/>
      <c r="Q747" s="1"/>
      <c r="R747" s="1"/>
    </row>
    <row r="748" spans="1:18">
      <c r="A748" s="1"/>
      <c r="Q748" s="1"/>
      <c r="R748" s="1"/>
    </row>
    <row r="749" spans="1:18">
      <c r="A749" s="1"/>
      <c r="Q749" s="1"/>
      <c r="R749" s="1"/>
    </row>
    <row r="750" spans="1:18">
      <c r="A750" s="1"/>
      <c r="Q750" s="1"/>
      <c r="R750" s="1"/>
    </row>
    <row r="751" spans="1:18">
      <c r="A751" s="1"/>
      <c r="Q751" s="1"/>
      <c r="R751" s="1"/>
    </row>
    <row r="752" spans="1:18">
      <c r="A752" s="1"/>
      <c r="Q752" s="1"/>
      <c r="R752" s="1"/>
    </row>
    <row r="753" spans="1:18">
      <c r="A753" s="1"/>
      <c r="Q753" s="1"/>
      <c r="R753" s="1"/>
    </row>
    <row r="754" spans="1:18">
      <c r="A754" s="1"/>
      <c r="Q754" s="1"/>
      <c r="R754" s="1"/>
    </row>
    <row r="755" spans="1:18">
      <c r="A755" s="1"/>
      <c r="Q755" s="1"/>
      <c r="R755" s="1"/>
    </row>
    <row r="756" spans="1:18">
      <c r="A756" s="1"/>
      <c r="Q756" s="1"/>
      <c r="R756" s="1"/>
    </row>
    <row r="757" spans="1:18">
      <c r="A757" s="1"/>
      <c r="Q757" s="1"/>
      <c r="R757" s="1"/>
    </row>
    <row r="758" spans="1:18">
      <c r="A758" s="1"/>
      <c r="Q758" s="1"/>
      <c r="R758" s="1"/>
    </row>
    <row r="759" spans="1:18">
      <c r="A759" s="1"/>
      <c r="Q759" s="1"/>
      <c r="R759" s="1"/>
    </row>
    <row r="760" spans="1:18">
      <c r="A760" s="1"/>
      <c r="Q760" s="1"/>
      <c r="R760" s="1"/>
    </row>
    <row r="761" spans="1:18">
      <c r="A761" s="1"/>
      <c r="Q761" s="1"/>
      <c r="R761" s="1"/>
    </row>
    <row r="762" spans="1:18">
      <c r="A762" s="1"/>
      <c r="Q762" s="1"/>
      <c r="R762" s="1"/>
    </row>
    <row r="763" spans="1:18">
      <c r="A763" s="1"/>
      <c r="Q763" s="1"/>
      <c r="R763" s="1"/>
    </row>
    <row r="764" spans="1:18">
      <c r="A764" s="1"/>
      <c r="Q764" s="1"/>
      <c r="R764" s="1"/>
    </row>
    <row r="765" spans="1:18">
      <c r="A765" s="1"/>
      <c r="Q765" s="1"/>
      <c r="R765" s="1"/>
    </row>
    <row r="766" spans="1:18">
      <c r="A766" s="1"/>
      <c r="Q766" s="1"/>
      <c r="R766" s="1"/>
    </row>
    <row r="767" spans="1:18">
      <c r="A767" s="1"/>
      <c r="Q767" s="1"/>
      <c r="R767" s="1"/>
    </row>
    <row r="768" spans="1:18">
      <c r="A768" s="1"/>
      <c r="Q768" s="1"/>
      <c r="R768" s="1"/>
    </row>
    <row r="769" spans="1:18">
      <c r="A769" s="1"/>
      <c r="Q769" s="1"/>
      <c r="R769" s="1"/>
    </row>
    <row r="770" spans="1:18">
      <c r="A770" s="1"/>
      <c r="Q770" s="1"/>
      <c r="R770" s="1"/>
    </row>
    <row r="771" spans="1:18">
      <c r="A771" s="1"/>
      <c r="Q771" s="1"/>
      <c r="R771" s="1"/>
    </row>
    <row r="772" spans="1:18">
      <c r="A772" s="1"/>
      <c r="Q772" s="1"/>
      <c r="R772" s="1"/>
    </row>
    <row r="773" spans="1:18">
      <c r="A773" s="1"/>
      <c r="Q773" s="1"/>
      <c r="R773" s="1"/>
    </row>
    <row r="774" spans="1:18">
      <c r="A774" s="1"/>
      <c r="Q774" s="1"/>
      <c r="R774" s="1"/>
    </row>
    <row r="775" spans="1:18">
      <c r="A775" s="1"/>
      <c r="Q775" s="1"/>
      <c r="R775" s="1"/>
    </row>
    <row r="776" spans="1:18">
      <c r="A776" s="1"/>
      <c r="Q776" s="1"/>
      <c r="R776" s="1"/>
    </row>
    <row r="777" spans="1:18">
      <c r="A777" s="1"/>
      <c r="Q777" s="1"/>
      <c r="R777" s="1"/>
    </row>
    <row r="778" spans="1:18">
      <c r="A778" s="1"/>
      <c r="Q778" s="1"/>
      <c r="R778" s="1"/>
    </row>
    <row r="779" spans="1:18">
      <c r="A779" s="1"/>
      <c r="Q779" s="1"/>
      <c r="R779" s="1"/>
    </row>
    <row r="780" spans="1:18">
      <c r="A780" s="1"/>
      <c r="Q780" s="1"/>
      <c r="R780" s="1"/>
    </row>
    <row r="781" spans="1:18">
      <c r="A781" s="1"/>
      <c r="Q781" s="1"/>
      <c r="R781" s="1"/>
    </row>
    <row r="782" spans="1:18">
      <c r="A782" s="1"/>
      <c r="Q782" s="1"/>
      <c r="R782" s="1"/>
    </row>
    <row r="783" spans="1:18">
      <c r="A783" s="1"/>
      <c r="Q783" s="1"/>
      <c r="R783" s="1"/>
    </row>
    <row r="784" spans="1:18">
      <c r="A784" s="1"/>
      <c r="Q784" s="1"/>
      <c r="R784" s="1"/>
    </row>
    <row r="785" spans="1:18">
      <c r="A785" s="1"/>
      <c r="Q785" s="1"/>
      <c r="R785" s="1"/>
    </row>
    <row r="786" spans="1:18">
      <c r="A786" s="1"/>
      <c r="Q786" s="1"/>
      <c r="R786" s="1"/>
    </row>
    <row r="787" spans="1:18">
      <c r="A787" s="1"/>
      <c r="Q787" s="1"/>
      <c r="R787" s="1"/>
    </row>
    <row r="788" spans="1:18">
      <c r="A788" s="1"/>
      <c r="Q788" s="1"/>
      <c r="R788" s="1"/>
    </row>
    <row r="789" spans="1:18">
      <c r="A789" s="1"/>
      <c r="Q789" s="1"/>
      <c r="R789" s="1"/>
    </row>
    <row r="790" spans="1:18">
      <c r="A790" s="1"/>
      <c r="Q790" s="1"/>
      <c r="R790" s="1"/>
    </row>
    <row r="791" spans="1:18">
      <c r="A791" s="1"/>
      <c r="Q791" s="1"/>
      <c r="R791" s="1"/>
    </row>
    <row r="792" spans="1:18">
      <c r="A792" s="1"/>
      <c r="Q792" s="1"/>
      <c r="R792" s="1"/>
    </row>
    <row r="793" spans="1:18">
      <c r="A793" s="1"/>
      <c r="Q793" s="1"/>
      <c r="R793" s="1"/>
    </row>
    <row r="794" spans="1:18">
      <c r="A794" s="1"/>
      <c r="Q794" s="1"/>
      <c r="R794" s="1"/>
    </row>
    <row r="795" spans="1:18">
      <c r="A795" s="1"/>
      <c r="Q795" s="1"/>
      <c r="R795" s="1"/>
    </row>
    <row r="796" spans="1:18">
      <c r="A796" s="1"/>
      <c r="Q796" s="1"/>
      <c r="R796" s="1"/>
    </row>
    <row r="797" spans="1:18">
      <c r="A797" s="1"/>
      <c r="Q797" s="1"/>
      <c r="R797" s="1"/>
    </row>
    <row r="798" spans="1:18">
      <c r="A798" s="1"/>
      <c r="Q798" s="1"/>
      <c r="R798" s="1"/>
    </row>
    <row r="799" spans="1:18">
      <c r="A799" s="1"/>
      <c r="Q799" s="1"/>
      <c r="R799" s="1"/>
    </row>
    <row r="800" spans="1:18">
      <c r="A800" s="1"/>
      <c r="Q800" s="1"/>
      <c r="R800" s="1"/>
    </row>
    <row r="801" spans="1:18">
      <c r="A801" s="1"/>
      <c r="Q801" s="1"/>
      <c r="R801" s="1"/>
    </row>
    <row r="802" spans="1:18">
      <c r="A802" s="1"/>
      <c r="Q802" s="1"/>
      <c r="R802" s="1"/>
    </row>
    <row r="803" spans="1:18">
      <c r="A803" s="1"/>
      <c r="Q803" s="1"/>
      <c r="R803" s="1"/>
    </row>
    <row r="804" spans="1:18">
      <c r="A804" s="1"/>
      <c r="Q804" s="1"/>
      <c r="R804" s="1"/>
    </row>
    <row r="805" spans="1:18">
      <c r="A805" s="1"/>
      <c r="Q805" s="1"/>
      <c r="R805" s="1"/>
    </row>
    <row r="806" spans="1:18">
      <c r="A806" s="1"/>
      <c r="Q806" s="1"/>
      <c r="R806" s="1"/>
    </row>
    <row r="807" spans="1:18">
      <c r="A807" s="1"/>
      <c r="Q807" s="1"/>
      <c r="R807" s="1"/>
    </row>
    <row r="808" spans="1:18">
      <c r="A808" s="1"/>
      <c r="Q808" s="1"/>
      <c r="R808" s="1"/>
    </row>
    <row r="809" spans="1:18">
      <c r="A809" s="1"/>
      <c r="Q809" s="1"/>
      <c r="R809" s="1"/>
    </row>
    <row r="810" spans="1:18">
      <c r="A810" s="1"/>
      <c r="Q810" s="1"/>
      <c r="R810" s="1"/>
    </row>
    <row r="811" spans="1:18">
      <c r="A811" s="1"/>
      <c r="Q811" s="1"/>
      <c r="R811" s="1"/>
    </row>
    <row r="812" spans="1:18">
      <c r="A812" s="1"/>
      <c r="Q812" s="1"/>
      <c r="R812" s="1"/>
    </row>
    <row r="813" spans="1:18">
      <c r="A813" s="1"/>
      <c r="Q813" s="1"/>
      <c r="R813" s="1"/>
    </row>
    <row r="814" spans="1:18">
      <c r="A814" s="1"/>
      <c r="Q814" s="1"/>
      <c r="R814" s="1"/>
    </row>
    <row r="815" spans="1:18">
      <c r="A815" s="1"/>
      <c r="Q815" s="1"/>
      <c r="R815" s="1"/>
    </row>
    <row r="816" spans="1:18">
      <c r="A816" s="1"/>
      <c r="Q816" s="1"/>
      <c r="R816" s="1"/>
    </row>
    <row r="817" spans="1:18">
      <c r="A817" s="1"/>
      <c r="Q817" s="1"/>
      <c r="R817" s="1"/>
    </row>
    <row r="818" spans="1:18">
      <c r="A818" s="1"/>
      <c r="Q818" s="1"/>
      <c r="R818" s="1"/>
    </row>
    <row r="819" spans="1:18">
      <c r="A819" s="1"/>
      <c r="Q819" s="1"/>
      <c r="R819" s="1"/>
    </row>
    <row r="820" spans="1:18">
      <c r="A820" s="1"/>
      <c r="Q820" s="1"/>
      <c r="R820" s="1"/>
    </row>
    <row r="821" spans="1:18">
      <c r="A821" s="1"/>
      <c r="Q821" s="1"/>
      <c r="R821" s="1"/>
    </row>
    <row r="822" spans="1:18">
      <c r="A822" s="1"/>
      <c r="Q822" s="1"/>
      <c r="R822" s="1"/>
    </row>
    <row r="823" spans="1:18">
      <c r="A823" s="1"/>
      <c r="Q823" s="1"/>
      <c r="R823" s="1"/>
    </row>
    <row r="824" spans="1:18">
      <c r="A824" s="1"/>
      <c r="Q824" s="1"/>
      <c r="R824" s="1"/>
    </row>
    <row r="825" spans="1:18">
      <c r="A825" s="1"/>
      <c r="Q825" s="1"/>
      <c r="R825" s="1"/>
    </row>
    <row r="826" spans="1:18">
      <c r="A826" s="1"/>
      <c r="Q826" s="1"/>
      <c r="R826" s="1"/>
    </row>
    <row r="827" spans="1:18">
      <c r="A827" s="1"/>
      <c r="Q827" s="1"/>
      <c r="R827" s="1"/>
    </row>
    <row r="828" spans="1:18">
      <c r="A828" s="1"/>
      <c r="Q828" s="1"/>
      <c r="R828" s="1"/>
    </row>
    <row r="829" spans="1:18">
      <c r="A829" s="1"/>
      <c r="Q829" s="1"/>
      <c r="R829" s="1"/>
    </row>
    <row r="830" spans="1:18">
      <c r="A830" s="1"/>
      <c r="Q830" s="1"/>
      <c r="R830" s="1"/>
    </row>
    <row r="831" spans="1:18">
      <c r="A831" s="1"/>
      <c r="Q831" s="1"/>
      <c r="R831" s="1"/>
    </row>
    <row r="832" spans="1:18">
      <c r="A832" s="1"/>
      <c r="Q832" s="1"/>
      <c r="R832" s="1"/>
    </row>
    <row r="833" spans="1:18">
      <c r="A833" s="1"/>
      <c r="Q833" s="1"/>
      <c r="R833" s="1"/>
    </row>
    <row r="834" spans="1:18">
      <c r="A834" s="1"/>
      <c r="Q834" s="1"/>
      <c r="R834" s="1"/>
    </row>
    <row r="835" spans="1:18">
      <c r="A835" s="1"/>
      <c r="Q835" s="1"/>
      <c r="R835" s="1"/>
    </row>
    <row r="836" spans="1:18">
      <c r="A836" s="1"/>
      <c r="Q836" s="1"/>
      <c r="R836" s="1"/>
    </row>
    <row r="837" spans="1:18">
      <c r="A837" s="1"/>
      <c r="Q837" s="1"/>
      <c r="R837" s="1"/>
    </row>
    <row r="838" spans="1:18">
      <c r="A838" s="1"/>
      <c r="Q838" s="1"/>
      <c r="R838" s="1"/>
    </row>
    <row r="839" spans="1:18">
      <c r="A839" s="1"/>
      <c r="Q839" s="1"/>
      <c r="R839" s="1"/>
    </row>
    <row r="840" spans="1:18">
      <c r="A840" s="1"/>
      <c r="Q840" s="1"/>
      <c r="R840" s="1"/>
    </row>
    <row r="841" spans="1:18">
      <c r="A841" s="1"/>
      <c r="Q841" s="1"/>
      <c r="R841" s="1"/>
    </row>
    <row r="842" spans="1:18">
      <c r="A842" s="1"/>
      <c r="Q842" s="1"/>
      <c r="R842" s="1"/>
    </row>
    <row r="843" spans="1:18">
      <c r="A843" s="1"/>
      <c r="Q843" s="1"/>
      <c r="R843" s="1"/>
    </row>
    <row r="844" spans="1:18">
      <c r="A844" s="1"/>
      <c r="Q844" s="1"/>
      <c r="R844" s="1"/>
    </row>
    <row r="845" spans="1:18">
      <c r="A845" s="1"/>
      <c r="Q845" s="1"/>
      <c r="R845" s="1"/>
    </row>
    <row r="846" spans="1:18">
      <c r="A846" s="1"/>
      <c r="Q846" s="1"/>
      <c r="R846" s="1"/>
    </row>
    <row r="847" spans="1:18">
      <c r="A847" s="1"/>
      <c r="Q847" s="1"/>
      <c r="R847" s="1"/>
    </row>
    <row r="848" spans="1:18">
      <c r="A848" s="1"/>
      <c r="Q848" s="1"/>
      <c r="R848" s="1"/>
    </row>
    <row r="849" spans="1:18">
      <c r="A849" s="1"/>
      <c r="Q849" s="1"/>
      <c r="R849" s="1"/>
    </row>
    <row r="850" spans="1:18">
      <c r="A850" s="1"/>
      <c r="Q850" s="1"/>
      <c r="R850" s="1"/>
    </row>
    <row r="851" spans="1:18">
      <c r="A851" s="1"/>
      <c r="Q851" s="1"/>
      <c r="R851" s="1"/>
    </row>
    <row r="852" spans="1:18">
      <c r="A852" s="1"/>
      <c r="Q852" s="1"/>
      <c r="R852" s="1"/>
    </row>
    <row r="853" spans="1:18">
      <c r="A853" s="1"/>
      <c r="Q853" s="1"/>
      <c r="R853" s="1"/>
    </row>
    <row r="854" spans="1:18">
      <c r="A854" s="1"/>
      <c r="Q854" s="1"/>
      <c r="R854" s="1"/>
    </row>
    <row r="855" spans="1:18">
      <c r="A855" s="1"/>
      <c r="Q855" s="1"/>
      <c r="R855" s="1"/>
    </row>
    <row r="856" spans="1:18">
      <c r="A856" s="1"/>
      <c r="Q856" s="1"/>
      <c r="R856" s="1"/>
    </row>
    <row r="857" spans="1:18">
      <c r="A857" s="1"/>
      <c r="Q857" s="1"/>
      <c r="R857" s="1"/>
    </row>
    <row r="858" spans="1:18">
      <c r="A858" s="1"/>
      <c r="Q858" s="1"/>
      <c r="R858" s="1"/>
    </row>
    <row r="859" spans="1:18">
      <c r="A859" s="1"/>
      <c r="Q859" s="1"/>
      <c r="R859" s="1"/>
    </row>
    <row r="860" spans="1:18">
      <c r="A860" s="1"/>
      <c r="Q860" s="1"/>
      <c r="R860" s="1"/>
    </row>
    <row r="861" spans="1:18">
      <c r="A861" s="1"/>
      <c r="Q861" s="1"/>
      <c r="R861" s="1"/>
    </row>
    <row r="862" spans="1:18">
      <c r="A862" s="1"/>
      <c r="Q862" s="1"/>
      <c r="R862" s="1"/>
    </row>
    <row r="863" spans="1:18">
      <c r="A863" s="1"/>
      <c r="Q863" s="1"/>
      <c r="R863" s="1"/>
    </row>
    <row r="864" spans="1:18">
      <c r="A864" s="1"/>
      <c r="Q864" s="1"/>
      <c r="R864" s="1"/>
    </row>
    <row r="865" spans="1:18">
      <c r="A865" s="1"/>
      <c r="Q865" s="1"/>
      <c r="R865" s="1"/>
    </row>
    <row r="866" spans="1:18">
      <c r="A866" s="1"/>
      <c r="Q866" s="1"/>
      <c r="R866" s="1"/>
    </row>
    <row r="867" spans="1:18">
      <c r="A867" s="1"/>
      <c r="Q867" s="1"/>
      <c r="R867" s="1"/>
    </row>
    <row r="868" spans="1:18">
      <c r="A868" s="1"/>
      <c r="Q868" s="1"/>
      <c r="R868" s="1"/>
    </row>
    <row r="869" spans="1:18">
      <c r="A869" s="1"/>
      <c r="Q869" s="1"/>
      <c r="R869" s="1"/>
    </row>
    <row r="870" spans="1:18">
      <c r="A870" s="1"/>
      <c r="Q870" s="1"/>
      <c r="R870" s="1"/>
    </row>
    <row r="871" spans="1:18">
      <c r="A871" s="1"/>
      <c r="Q871" s="1"/>
      <c r="R871" s="1"/>
    </row>
    <row r="872" spans="1:18">
      <c r="A872" s="1"/>
      <c r="Q872" s="1"/>
      <c r="R872" s="1"/>
    </row>
    <row r="873" spans="1:18">
      <c r="A873" s="1"/>
      <c r="Q873" s="1"/>
      <c r="R873" s="1"/>
    </row>
    <row r="874" spans="1:18">
      <c r="A874" s="1"/>
      <c r="Q874" s="1"/>
      <c r="R874" s="1"/>
    </row>
    <row r="875" spans="1:18">
      <c r="A875" s="1"/>
      <c r="Q875" s="1"/>
      <c r="R875" s="1"/>
    </row>
    <row r="876" spans="1:18">
      <c r="A876" s="1"/>
      <c r="Q876" s="1"/>
      <c r="R876" s="1"/>
    </row>
    <row r="877" spans="1:18">
      <c r="A877" s="1"/>
      <c r="Q877" s="1"/>
      <c r="R877" s="1"/>
    </row>
    <row r="878" spans="1:18">
      <c r="A878" s="1"/>
      <c r="Q878" s="1"/>
      <c r="R878" s="1"/>
    </row>
    <row r="879" spans="1:18">
      <c r="A879" s="1"/>
      <c r="Q879" s="1"/>
      <c r="R879" s="1"/>
    </row>
    <row r="880" spans="1:18">
      <c r="A880" s="1"/>
      <c r="Q880" s="1"/>
      <c r="R880" s="1"/>
    </row>
    <row r="881" spans="1:18">
      <c r="A881" s="1"/>
      <c r="Q881" s="1"/>
      <c r="R881" s="1"/>
    </row>
    <row r="882" spans="1:18">
      <c r="A882" s="1"/>
      <c r="Q882" s="1"/>
      <c r="R882" s="1"/>
    </row>
    <row r="883" spans="1:18">
      <c r="A883" s="1"/>
      <c r="Q883" s="1"/>
      <c r="R883" s="1"/>
    </row>
    <row r="884" spans="1:18">
      <c r="A884" s="1"/>
      <c r="Q884" s="1"/>
      <c r="R884" s="1"/>
    </row>
    <row r="885" spans="1:18">
      <c r="A885" s="1"/>
      <c r="Q885" s="1"/>
      <c r="R885" s="1"/>
    </row>
    <row r="886" spans="1:18">
      <c r="A886" s="1"/>
      <c r="Q886" s="1"/>
      <c r="R886" s="1"/>
    </row>
    <row r="887" spans="1:18">
      <c r="A887" s="1"/>
      <c r="Q887" s="1"/>
      <c r="R887" s="1"/>
    </row>
    <row r="888" spans="1:18">
      <c r="A888" s="1"/>
      <c r="Q888" s="1"/>
      <c r="R888" s="1"/>
    </row>
    <row r="889" spans="1:18">
      <c r="A889" s="1"/>
      <c r="Q889" s="1"/>
      <c r="R889" s="1"/>
    </row>
    <row r="890" spans="1:18">
      <c r="A890" s="1"/>
      <c r="Q890" s="1"/>
      <c r="R890" s="1"/>
    </row>
    <row r="891" spans="1:18">
      <c r="A891" s="1"/>
      <c r="Q891" s="1"/>
      <c r="R891" s="1"/>
    </row>
    <row r="892" spans="1:18">
      <c r="A892" s="1"/>
      <c r="Q892" s="1"/>
      <c r="R892" s="1"/>
    </row>
    <row r="893" spans="1:18">
      <c r="A893" s="1"/>
      <c r="Q893" s="1"/>
      <c r="R893" s="1"/>
    </row>
    <row r="894" spans="1:18">
      <c r="A894" s="1"/>
      <c r="Q894" s="1"/>
      <c r="R894" s="1"/>
    </row>
    <row r="895" spans="1:18">
      <c r="A895" s="1"/>
      <c r="Q895" s="1"/>
      <c r="R895" s="1"/>
    </row>
    <row r="896" spans="1:18">
      <c r="A896" s="1"/>
      <c r="Q896" s="1"/>
      <c r="R896" s="1"/>
    </row>
    <row r="897" spans="1:18">
      <c r="A897" s="1"/>
      <c r="Q897" s="1"/>
      <c r="R897" s="1"/>
    </row>
    <row r="898" spans="1:18">
      <c r="A898" s="1"/>
      <c r="Q898" s="1"/>
      <c r="R898" s="1"/>
    </row>
    <row r="899" spans="1:18">
      <c r="A899" s="1"/>
      <c r="Q899" s="1"/>
      <c r="R899" s="1"/>
    </row>
    <row r="900" spans="1:18">
      <c r="A900" s="1"/>
      <c r="Q900" s="1"/>
      <c r="R900" s="1"/>
    </row>
    <row r="901" spans="1:18">
      <c r="A901" s="1"/>
      <c r="Q901" s="1"/>
      <c r="R901" s="1"/>
    </row>
    <row r="902" spans="1:18">
      <c r="A902" s="1"/>
      <c r="Q902" s="1"/>
      <c r="R902" s="1"/>
    </row>
    <row r="903" spans="1:18">
      <c r="A903" s="1"/>
      <c r="Q903" s="1"/>
      <c r="R903" s="1"/>
    </row>
    <row r="904" spans="1:18">
      <c r="A904" s="1"/>
      <c r="Q904" s="1"/>
      <c r="R904" s="1"/>
    </row>
    <row r="905" spans="1:18">
      <c r="A905" s="1"/>
      <c r="Q905" s="1"/>
      <c r="R905" s="1"/>
    </row>
    <row r="906" spans="1:18">
      <c r="A906" s="1"/>
      <c r="Q906" s="1"/>
      <c r="R906" s="1"/>
    </row>
    <row r="907" spans="1:18">
      <c r="A907" s="1"/>
      <c r="Q907" s="1"/>
      <c r="R907" s="1"/>
    </row>
    <row r="908" spans="1:18">
      <c r="A908" s="1"/>
      <c r="Q908" s="1"/>
      <c r="R908" s="1"/>
    </row>
    <row r="909" spans="1:18">
      <c r="A909" s="1"/>
      <c r="Q909" s="1"/>
      <c r="R909" s="1"/>
    </row>
    <row r="910" spans="1:18">
      <c r="A910" s="1"/>
      <c r="Q910" s="1"/>
      <c r="R910" s="1"/>
    </row>
    <row r="911" spans="1:18">
      <c r="A911" s="1"/>
      <c r="Q911" s="1"/>
      <c r="R911" s="1"/>
    </row>
    <row r="912" spans="1:18">
      <c r="A912" s="1"/>
      <c r="Q912" s="1"/>
      <c r="R912" s="1"/>
    </row>
    <row r="913" spans="1:18">
      <c r="A913" s="1"/>
      <c r="Q913" s="1"/>
      <c r="R913" s="1"/>
    </row>
    <row r="914" spans="1:18">
      <c r="A914" s="1"/>
      <c r="Q914" s="1"/>
      <c r="R914" s="1"/>
    </row>
    <row r="915" spans="1:18">
      <c r="A915" s="1"/>
      <c r="Q915" s="1"/>
      <c r="R915" s="1"/>
    </row>
    <row r="916" spans="1:18">
      <c r="A916" s="1"/>
      <c r="Q916" s="1"/>
      <c r="R916" s="1"/>
    </row>
    <row r="917" spans="1:18">
      <c r="A917" s="1"/>
      <c r="Q917" s="1"/>
      <c r="R917" s="1"/>
    </row>
    <row r="918" spans="1:18">
      <c r="A918" s="1"/>
      <c r="Q918" s="1"/>
      <c r="R918" s="1"/>
    </row>
    <row r="919" spans="1:18">
      <c r="A919" s="1"/>
      <c r="Q919" s="1"/>
      <c r="R919" s="1"/>
    </row>
    <row r="920" spans="1:18">
      <c r="A920" s="1"/>
      <c r="Q920" s="1"/>
      <c r="R920" s="1"/>
    </row>
    <row r="921" spans="1:18">
      <c r="A921" s="1"/>
      <c r="Q921" s="1"/>
      <c r="R921" s="1"/>
    </row>
    <row r="922" spans="1:18">
      <c r="A922" s="1"/>
      <c r="Q922" s="1"/>
      <c r="R922" s="1"/>
    </row>
    <row r="923" spans="1:18">
      <c r="A923" s="1"/>
      <c r="Q923" s="1"/>
      <c r="R923" s="1"/>
    </row>
    <row r="924" spans="1:18">
      <c r="A924" s="1"/>
      <c r="Q924" s="1"/>
      <c r="R924" s="1"/>
    </row>
    <row r="925" spans="1:18">
      <c r="A925" s="1"/>
      <c r="Q925" s="1"/>
      <c r="R925" s="1"/>
    </row>
    <row r="926" spans="1:18">
      <c r="A926" s="1"/>
      <c r="Q926" s="1"/>
      <c r="R926" s="1"/>
    </row>
    <row r="927" spans="1:18">
      <c r="A927" s="1"/>
      <c r="Q927" s="1"/>
      <c r="R927" s="1"/>
    </row>
    <row r="928" spans="1:18">
      <c r="A928" s="1"/>
      <c r="Q928" s="1"/>
      <c r="R928" s="1"/>
    </row>
    <row r="929" spans="1:18">
      <c r="A929" s="1"/>
      <c r="Q929" s="1"/>
      <c r="R929" s="1"/>
    </row>
    <row r="930" spans="1:18">
      <c r="A930" s="1"/>
      <c r="Q930" s="1"/>
      <c r="R930" s="1"/>
    </row>
    <row r="931" spans="1:18">
      <c r="A931" s="1"/>
      <c r="Q931" s="1"/>
      <c r="R931" s="1"/>
    </row>
    <row r="932" spans="1:18">
      <c r="A932" s="1"/>
      <c r="Q932" s="1"/>
      <c r="R932" s="1"/>
    </row>
    <row r="933" spans="1:18">
      <c r="A933" s="1"/>
      <c r="Q933" s="1"/>
      <c r="R933" s="1"/>
    </row>
    <row r="934" spans="1:18">
      <c r="A934" s="1"/>
      <c r="Q934" s="1"/>
      <c r="R934" s="1"/>
    </row>
    <row r="935" spans="1:18">
      <c r="A935" s="1"/>
      <c r="Q935" s="1"/>
      <c r="R935" s="1"/>
    </row>
    <row r="936" spans="1:18">
      <c r="A936" s="1"/>
      <c r="Q936" s="1"/>
      <c r="R936" s="1"/>
    </row>
    <row r="937" spans="1:18">
      <c r="A937" s="1"/>
      <c r="Q937" s="1"/>
      <c r="R937" s="1"/>
    </row>
    <row r="938" spans="1:18">
      <c r="A938" s="1"/>
      <c r="Q938" s="1"/>
      <c r="R938" s="1"/>
    </row>
    <row r="939" spans="1:18">
      <c r="A939" s="1"/>
      <c r="Q939" s="1"/>
      <c r="R939" s="1"/>
    </row>
    <row r="940" spans="1:18">
      <c r="A940" s="1"/>
      <c r="Q940" s="1"/>
      <c r="R940" s="1"/>
    </row>
    <row r="941" spans="1:18">
      <c r="A941" s="1"/>
      <c r="Q941" s="1"/>
      <c r="R941" s="1"/>
    </row>
    <row r="942" spans="1:18">
      <c r="A942" s="1"/>
      <c r="Q942" s="1"/>
      <c r="R942" s="1"/>
    </row>
    <row r="943" spans="1:18">
      <c r="A943" s="1"/>
      <c r="Q943" s="1"/>
      <c r="R943" s="1"/>
    </row>
    <row r="944" spans="1:18">
      <c r="A944" s="1"/>
      <c r="Q944" s="1"/>
      <c r="R944" s="1"/>
    </row>
    <row r="945" spans="1:18">
      <c r="A945" s="1"/>
      <c r="Q945" s="1"/>
      <c r="R945" s="1"/>
    </row>
    <row r="946" spans="1:18">
      <c r="A946" s="1"/>
      <c r="Q946" s="1"/>
      <c r="R946" s="1"/>
    </row>
    <row r="947" spans="1:18">
      <c r="A947" s="1"/>
      <c r="Q947" s="1"/>
      <c r="R947" s="1"/>
    </row>
    <row r="948" spans="1:18">
      <c r="A948" s="1"/>
      <c r="Q948" s="1"/>
      <c r="R948" s="1"/>
    </row>
    <row r="949" spans="1:18">
      <c r="A949" s="1"/>
      <c r="Q949" s="1"/>
      <c r="R949" s="1"/>
    </row>
    <row r="950" spans="1:18">
      <c r="A950" s="1"/>
      <c r="Q950" s="1"/>
      <c r="R950" s="1"/>
    </row>
    <row r="951" spans="1:18">
      <c r="A951" s="1"/>
      <c r="Q951" s="1"/>
      <c r="R951" s="1"/>
    </row>
    <row r="952" spans="1:18">
      <c r="A952" s="1"/>
      <c r="Q952" s="1"/>
      <c r="R952" s="1"/>
    </row>
    <row r="953" spans="1:18">
      <c r="A953" s="1"/>
      <c r="Q953" s="1"/>
      <c r="R953" s="1"/>
    </row>
    <row r="954" spans="1:18">
      <c r="A954" s="1"/>
      <c r="Q954" s="1"/>
      <c r="R954" s="1"/>
    </row>
    <row r="955" spans="1:18">
      <c r="A955" s="1"/>
      <c r="Q955" s="1"/>
      <c r="R955" s="1"/>
    </row>
    <row r="956" spans="1:18">
      <c r="A956" s="1"/>
      <c r="Q956" s="1"/>
      <c r="R956" s="1"/>
    </row>
    <row r="957" spans="1:18">
      <c r="A957" s="1"/>
      <c r="Q957" s="1"/>
      <c r="R957" s="1"/>
    </row>
    <row r="958" spans="1:18">
      <c r="A958" s="1"/>
      <c r="Q958" s="1"/>
      <c r="R958" s="1"/>
    </row>
    <row r="959" spans="1:18">
      <c r="A959" s="1"/>
      <c r="Q959" s="1"/>
      <c r="R959" s="1"/>
    </row>
    <row r="960" spans="1:18">
      <c r="A960" s="1"/>
      <c r="Q960" s="1"/>
      <c r="R960" s="1"/>
    </row>
    <row r="961" spans="1:18">
      <c r="A961" s="1"/>
      <c r="Q961" s="1"/>
      <c r="R961" s="1"/>
    </row>
    <row r="962" spans="1:18">
      <c r="A962" s="1"/>
      <c r="Q962" s="1"/>
      <c r="R962" s="1"/>
    </row>
    <row r="963" spans="1:18">
      <c r="A963" s="1"/>
      <c r="Q963" s="1"/>
      <c r="R963" s="1"/>
    </row>
    <row r="964" spans="1:18">
      <c r="A964" s="1"/>
      <c r="Q964" s="1"/>
      <c r="R964" s="1"/>
    </row>
    <row r="965" spans="1:18">
      <c r="A965" s="1"/>
      <c r="Q965" s="1"/>
      <c r="R965" s="1"/>
    </row>
    <row r="966" spans="1:18">
      <c r="A966" s="1"/>
      <c r="Q966" s="1"/>
      <c r="R966" s="1"/>
    </row>
    <row r="967" spans="1:18">
      <c r="A967" s="1"/>
      <c r="Q967" s="1"/>
      <c r="R967" s="1"/>
    </row>
    <row r="968" spans="1:18">
      <c r="A968" s="1"/>
      <c r="Q968" s="1"/>
      <c r="R968" s="1"/>
    </row>
    <row r="969" spans="1:18">
      <c r="A969" s="1"/>
      <c r="Q969" s="1"/>
      <c r="R969" s="1"/>
    </row>
    <row r="970" spans="1:18">
      <c r="A970" s="1"/>
      <c r="Q970" s="1"/>
      <c r="R970" s="1"/>
    </row>
    <row r="971" spans="1:18">
      <c r="A971" s="1"/>
      <c r="Q971" s="1"/>
      <c r="R971" s="1"/>
    </row>
    <row r="972" spans="1:18">
      <c r="A972" s="1"/>
      <c r="Q972" s="1"/>
      <c r="R972" s="1"/>
    </row>
    <row r="973" spans="1:18">
      <c r="A973" s="1"/>
      <c r="Q973" s="1"/>
      <c r="R973" s="1"/>
    </row>
    <row r="974" spans="1:18">
      <c r="A974" s="1"/>
      <c r="Q974" s="1"/>
      <c r="R974" s="1"/>
    </row>
    <row r="975" spans="1:18">
      <c r="A975" s="1"/>
      <c r="Q975" s="1"/>
      <c r="R975" s="1"/>
    </row>
    <row r="976" spans="1:18">
      <c r="A976" s="1"/>
      <c r="Q976" s="1"/>
      <c r="R976" s="1"/>
    </row>
    <row r="977" spans="1:18">
      <c r="A977" s="1"/>
      <c r="Q977" s="1"/>
      <c r="R977" s="1"/>
    </row>
    <row r="978" spans="1:18">
      <c r="A978" s="1"/>
      <c r="Q978" s="1"/>
      <c r="R978" s="1"/>
    </row>
    <row r="979" spans="1:18">
      <c r="A979" s="1"/>
      <c r="Q979" s="1"/>
      <c r="R979" s="1"/>
    </row>
    <row r="980" spans="1:18">
      <c r="A980" s="1"/>
      <c r="Q980" s="1"/>
      <c r="R980" s="1"/>
    </row>
    <row r="981" spans="1:18">
      <c r="A981" s="1"/>
      <c r="Q981" s="1"/>
      <c r="R981" s="1"/>
    </row>
    <row r="982" spans="1:18">
      <c r="A982" s="1"/>
      <c r="Q982" s="1"/>
      <c r="R982" s="1"/>
    </row>
    <row r="983" spans="1:18">
      <c r="A983" s="1"/>
      <c r="Q983" s="1"/>
      <c r="R983" s="1"/>
    </row>
    <row r="984" spans="1:18">
      <c r="A984" s="1"/>
      <c r="Q984" s="1"/>
      <c r="R984" s="1"/>
    </row>
    <row r="985" spans="1:18">
      <c r="A985" s="1"/>
      <c r="Q985" s="1"/>
      <c r="R985" s="1"/>
    </row>
    <row r="986" spans="1:18">
      <c r="A986" s="1"/>
      <c r="Q986" s="1"/>
      <c r="R986" s="1"/>
    </row>
    <row r="987" spans="1:18">
      <c r="A987" s="1"/>
      <c r="Q987" s="1"/>
      <c r="R987" s="1"/>
    </row>
    <row r="988" spans="1:18">
      <c r="A988" s="1"/>
      <c r="Q988" s="1"/>
      <c r="R988" s="1"/>
    </row>
    <row r="989" spans="1:18">
      <c r="A989" s="1"/>
      <c r="Q989" s="1"/>
      <c r="R989" s="1"/>
    </row>
    <row r="990" spans="1:18">
      <c r="A990" s="1"/>
      <c r="Q990" s="1"/>
      <c r="R990" s="1"/>
    </row>
    <row r="991" spans="1:18">
      <c r="A991" s="1"/>
      <c r="Q991" s="1"/>
      <c r="R991" s="1"/>
    </row>
    <row r="992" spans="1:18">
      <c r="A992" s="1"/>
      <c r="Q992" s="1"/>
      <c r="R992" s="1"/>
    </row>
    <row r="993" spans="1:18">
      <c r="A993" s="1"/>
      <c r="Q993" s="1"/>
      <c r="R993" s="1"/>
    </row>
    <row r="994" spans="1:18">
      <c r="A994" s="1"/>
      <c r="Q994" s="1"/>
      <c r="R994" s="1"/>
    </row>
    <row r="995" spans="1:18">
      <c r="A995" s="1"/>
      <c r="Q995" s="1"/>
      <c r="R995" s="1"/>
    </row>
    <row r="996" spans="1:18">
      <c r="A996" s="1"/>
      <c r="Q996" s="1"/>
      <c r="R996" s="1"/>
    </row>
    <row r="997" spans="1:18">
      <c r="A997" s="1"/>
      <c r="Q997" s="1"/>
      <c r="R997" s="1"/>
    </row>
    <row r="998" spans="1:18">
      <c r="A998" s="1"/>
      <c r="Q998" s="1"/>
      <c r="R998" s="1"/>
    </row>
    <row r="999" spans="1:18">
      <c r="A999" s="1"/>
      <c r="Q999" s="1"/>
      <c r="R999" s="1"/>
    </row>
    <row r="1000" spans="1:18">
      <c r="A1000" s="1"/>
      <c r="Q1000" s="1"/>
      <c r="R1000" s="1"/>
    </row>
    <row r="1001" spans="1:18">
      <c r="A1001" s="1"/>
      <c r="Q1001" s="1"/>
      <c r="R1001" s="1"/>
    </row>
    <row r="1002" spans="1:18">
      <c r="A1002" s="1"/>
      <c r="Q1002" s="1"/>
      <c r="R1002" s="1"/>
    </row>
    <row r="1003" spans="1:18">
      <c r="A1003" s="1"/>
      <c r="Q1003" s="1"/>
      <c r="R1003" s="1"/>
    </row>
    <row r="1004" spans="1:18">
      <c r="A1004" s="1"/>
      <c r="Q1004" s="1"/>
      <c r="R1004" s="1"/>
    </row>
    <row r="1005" spans="1:18">
      <c r="A1005" s="1"/>
      <c r="Q1005" s="1"/>
      <c r="R1005" s="1"/>
    </row>
    <row r="1006" spans="1:18">
      <c r="A1006" s="1"/>
      <c r="Q1006" s="1"/>
      <c r="R1006" s="1"/>
    </row>
    <row r="1007" spans="1:18">
      <c r="A1007" s="1"/>
      <c r="Q1007" s="1"/>
      <c r="R1007" s="1"/>
    </row>
    <row r="1008" spans="1:18">
      <c r="A1008" s="1"/>
      <c r="Q1008" s="1"/>
      <c r="R1008" s="1"/>
    </row>
    <row r="1009" spans="1:18">
      <c r="A1009" s="1"/>
      <c r="Q1009" s="1"/>
      <c r="R1009" s="1"/>
    </row>
    <row r="1010" spans="1:18">
      <c r="A1010" s="1"/>
      <c r="Q1010" s="1"/>
      <c r="R1010" s="1"/>
    </row>
    <row r="1011" spans="1:18">
      <c r="A1011" s="1"/>
      <c r="Q1011" s="1"/>
      <c r="R1011" s="1"/>
    </row>
    <row r="1012" spans="1:18">
      <c r="A1012" s="1"/>
      <c r="Q1012" s="1"/>
      <c r="R1012" s="1"/>
    </row>
    <row r="1013" spans="1:18">
      <c r="A1013" s="1"/>
      <c r="Q1013" s="1"/>
      <c r="R1013" s="1"/>
    </row>
    <row r="1014" spans="1:18">
      <c r="A1014" s="1"/>
      <c r="Q1014" s="1"/>
      <c r="R1014" s="1"/>
    </row>
    <row r="1015" spans="1:18">
      <c r="A1015" s="1"/>
      <c r="Q1015" s="1"/>
      <c r="R1015" s="1"/>
    </row>
    <row r="1016" spans="1:18">
      <c r="A1016" s="1"/>
      <c r="Q1016" s="1"/>
      <c r="R1016" s="1"/>
    </row>
    <row r="1017" spans="1:18">
      <c r="A1017" s="1"/>
      <c r="Q1017" s="1"/>
      <c r="R1017" s="1"/>
    </row>
    <row r="1018" spans="1:18">
      <c r="A1018" s="1"/>
      <c r="Q1018" s="1"/>
      <c r="R1018" s="1"/>
    </row>
    <row r="1019" spans="1:18">
      <c r="A1019" s="1"/>
      <c r="Q1019" s="1"/>
      <c r="R1019" s="1"/>
    </row>
    <row r="1020" spans="1:18">
      <c r="A1020" s="1"/>
      <c r="Q1020" s="1"/>
      <c r="R1020" s="1"/>
    </row>
    <row r="1021" spans="1:18">
      <c r="A1021" s="1"/>
      <c r="Q1021" s="1"/>
      <c r="R1021" s="1"/>
    </row>
    <row r="1022" spans="1:18">
      <c r="A1022" s="1"/>
      <c r="Q1022" s="1"/>
      <c r="R1022" s="1"/>
    </row>
    <row r="1023" spans="1:18">
      <c r="A1023" s="1"/>
      <c r="Q1023" s="1"/>
      <c r="R1023" s="1"/>
    </row>
    <row r="1024" spans="1:18">
      <c r="A1024" s="1"/>
      <c r="Q1024" s="1"/>
      <c r="R1024" s="1"/>
    </row>
    <row r="1025" spans="1:18">
      <c r="A1025" s="1"/>
      <c r="Q1025" s="1"/>
      <c r="R1025" s="1"/>
    </row>
    <row r="1026" spans="1:18">
      <c r="A1026" s="1"/>
      <c r="Q1026" s="1"/>
      <c r="R1026" s="1"/>
    </row>
    <row r="1027" spans="1:18">
      <c r="A1027" s="1"/>
      <c r="Q1027" s="1"/>
      <c r="R1027" s="1"/>
    </row>
    <row r="1028" spans="1:18">
      <c r="A1028" s="1"/>
      <c r="Q1028" s="1"/>
      <c r="R1028" s="1"/>
    </row>
    <row r="1029" spans="1:18">
      <c r="A1029" s="1"/>
      <c r="Q1029" s="1"/>
      <c r="R1029" s="1"/>
    </row>
    <row r="1030" spans="1:18">
      <c r="A1030" s="1"/>
      <c r="Q1030" s="1"/>
      <c r="R1030" s="1"/>
    </row>
    <row r="1031" spans="1:18">
      <c r="A1031" s="1"/>
      <c r="Q1031" s="1"/>
      <c r="R1031" s="1"/>
    </row>
    <row r="1032" spans="1:18">
      <c r="A1032" s="1"/>
      <c r="Q1032" s="1"/>
      <c r="R1032" s="1"/>
    </row>
    <row r="1033" spans="1:18">
      <c r="A1033" s="1"/>
      <c r="Q1033" s="1"/>
      <c r="R1033" s="1"/>
    </row>
    <row r="1034" spans="1:18">
      <c r="A1034" s="1"/>
      <c r="Q1034" s="1"/>
      <c r="R1034" s="1"/>
    </row>
    <row r="1035" spans="1:18">
      <c r="A1035" s="1"/>
      <c r="Q1035" s="1"/>
      <c r="R1035" s="1"/>
    </row>
    <row r="1036" spans="1:18">
      <c r="A1036" s="1"/>
      <c r="Q1036" s="1"/>
      <c r="R1036" s="1"/>
    </row>
    <row r="1037" spans="1:18">
      <c r="A1037" s="1"/>
      <c r="Q1037" s="1"/>
      <c r="R1037" s="1"/>
    </row>
    <row r="1038" spans="1:18">
      <c r="A1038" s="1"/>
      <c r="Q1038" s="1"/>
      <c r="R1038" s="1"/>
    </row>
    <row r="1039" spans="1:18">
      <c r="A1039" s="1"/>
      <c r="Q1039" s="1"/>
      <c r="R1039" s="1"/>
    </row>
    <row r="1040" spans="1:18">
      <c r="A1040" s="1"/>
      <c r="Q1040" s="1"/>
      <c r="R1040" s="1"/>
    </row>
    <row r="1041" spans="1:18">
      <c r="A1041" s="1"/>
      <c r="Q1041" s="1"/>
      <c r="R1041" s="1"/>
    </row>
    <row r="1042" spans="1:18">
      <c r="A1042" s="1"/>
      <c r="Q1042" s="1"/>
      <c r="R1042" s="1"/>
    </row>
    <row r="1043" spans="1:18">
      <c r="A1043" s="1"/>
      <c r="Q1043" s="1"/>
      <c r="R1043" s="1"/>
    </row>
    <row r="1044" spans="1:18">
      <c r="A1044" s="1"/>
      <c r="Q1044" s="1"/>
      <c r="R1044" s="1"/>
    </row>
    <row r="1045" spans="1:18">
      <c r="A1045" s="1"/>
      <c r="Q1045" s="1"/>
      <c r="R1045" s="1"/>
    </row>
    <row r="1046" spans="1:18">
      <c r="A1046" s="1"/>
      <c r="Q1046" s="1"/>
      <c r="R1046" s="1"/>
    </row>
    <row r="1047" spans="1:18">
      <c r="A1047" s="1"/>
      <c r="Q1047" s="1"/>
      <c r="R1047" s="1"/>
    </row>
    <row r="1048" spans="1:18">
      <c r="A1048" s="1"/>
      <c r="Q1048" s="1"/>
      <c r="R1048" s="1"/>
    </row>
    <row r="1049" spans="1:18">
      <c r="A1049" s="1"/>
      <c r="Q1049" s="1"/>
      <c r="R1049" s="1"/>
    </row>
    <row r="1050" spans="1:18">
      <c r="A1050" s="1"/>
      <c r="Q1050" s="1"/>
      <c r="R1050" s="1"/>
    </row>
    <row r="1051" spans="1:18">
      <c r="A1051" s="1"/>
      <c r="Q1051" s="1"/>
      <c r="R1051" s="1"/>
    </row>
    <row r="1052" spans="1:18">
      <c r="A1052" s="1"/>
      <c r="Q1052" s="1"/>
      <c r="R1052" s="1"/>
    </row>
    <row r="1053" spans="1:18">
      <c r="A1053" s="1"/>
      <c r="Q1053" s="1"/>
      <c r="R1053" s="1"/>
    </row>
    <row r="1054" spans="1:18">
      <c r="A1054" s="1"/>
      <c r="Q1054" s="1"/>
      <c r="R1054" s="1"/>
    </row>
    <row r="1055" spans="1:18">
      <c r="A1055" s="1"/>
      <c r="Q1055" s="1"/>
      <c r="R1055" s="1"/>
    </row>
    <row r="1056" spans="1:18">
      <c r="A1056" s="1"/>
      <c r="Q1056" s="1"/>
      <c r="R1056" s="1"/>
    </row>
    <row r="1057" spans="1:18">
      <c r="A1057" s="1"/>
      <c r="Q1057" s="1"/>
      <c r="R1057" s="1"/>
    </row>
    <row r="1058" spans="1:18">
      <c r="A1058" s="1"/>
      <c r="Q1058" s="1"/>
      <c r="R1058" s="1"/>
    </row>
    <row r="1059" spans="1:18">
      <c r="A1059" s="1"/>
      <c r="Q1059" s="1"/>
      <c r="R1059" s="1"/>
    </row>
    <row r="1060" spans="1:18">
      <c r="A1060" s="1"/>
      <c r="Q1060" s="1"/>
      <c r="R1060" s="1"/>
    </row>
    <row r="1061" spans="1:18">
      <c r="A1061" s="1"/>
      <c r="Q1061" s="1"/>
      <c r="R1061" s="1"/>
    </row>
    <row r="1062" spans="1:18">
      <c r="A1062" s="1"/>
      <c r="Q1062" s="1"/>
      <c r="R1062" s="1"/>
    </row>
    <row r="1063" spans="1:18">
      <c r="A1063" s="1"/>
      <c r="Q1063" s="1"/>
      <c r="R1063" s="1"/>
    </row>
    <row r="1064" spans="1:18">
      <c r="A1064" s="1"/>
      <c r="Q1064" s="1"/>
      <c r="R1064" s="1"/>
    </row>
    <row r="1065" spans="1:18">
      <c r="A1065" s="1"/>
      <c r="Q1065" s="1"/>
      <c r="R1065" s="1"/>
    </row>
    <row r="1066" spans="1:18">
      <c r="A1066" s="1"/>
      <c r="Q1066" s="1"/>
      <c r="R1066" s="1"/>
    </row>
    <row r="1067" spans="1:18">
      <c r="A1067" s="1"/>
      <c r="Q1067" s="1"/>
      <c r="R1067" s="1"/>
    </row>
    <row r="1068" spans="1:18">
      <c r="A1068" s="1"/>
      <c r="Q1068" s="1"/>
      <c r="R1068" s="1"/>
    </row>
    <row r="1069" spans="1:18">
      <c r="A1069" s="1"/>
      <c r="Q1069" s="1"/>
      <c r="R1069" s="1"/>
    </row>
    <row r="1070" spans="1:18">
      <c r="A1070" s="1"/>
      <c r="Q1070" s="1"/>
      <c r="R1070" s="1"/>
    </row>
    <row r="1071" spans="1:18">
      <c r="A1071" s="1"/>
      <c r="Q1071" s="1"/>
      <c r="R1071" s="1"/>
    </row>
    <row r="1072" spans="1:18">
      <c r="A1072" s="1"/>
      <c r="Q1072" s="1"/>
      <c r="R1072" s="1"/>
    </row>
    <row r="1073" spans="1:18">
      <c r="A1073" s="1"/>
      <c r="Q1073" s="1"/>
      <c r="R1073" s="1"/>
    </row>
    <row r="1074" spans="1:18">
      <c r="A1074" s="1"/>
      <c r="Q1074" s="1"/>
      <c r="R1074" s="1"/>
    </row>
    <row r="1075" spans="1:18">
      <c r="A1075" s="1"/>
      <c r="Q1075" s="1"/>
      <c r="R1075" s="1"/>
    </row>
    <row r="1076" spans="1:18">
      <c r="A1076" s="1"/>
      <c r="Q1076" s="1"/>
      <c r="R1076" s="1"/>
    </row>
    <row r="1077" spans="1:18">
      <c r="A1077" s="1"/>
      <c r="Q1077" s="1"/>
      <c r="R1077" s="1"/>
    </row>
    <row r="1078" spans="1:18">
      <c r="A1078" s="1"/>
      <c r="Q1078" s="1"/>
      <c r="R1078" s="1"/>
    </row>
    <row r="1079" spans="1:18">
      <c r="A1079" s="1"/>
      <c r="Q1079" s="1"/>
      <c r="R1079" s="1"/>
    </row>
    <row r="1080" spans="1:18">
      <c r="A1080" s="1"/>
      <c r="Q1080" s="1"/>
      <c r="R1080" s="1"/>
    </row>
    <row r="1081" spans="1:18">
      <c r="A1081" s="1"/>
      <c r="Q1081" s="1"/>
      <c r="R1081" s="1"/>
    </row>
    <row r="1082" spans="1:18">
      <c r="A1082" s="1"/>
      <c r="Q1082" s="1"/>
      <c r="R1082" s="1"/>
    </row>
    <row r="1083" spans="1:18">
      <c r="A1083" s="1"/>
      <c r="Q1083" s="1"/>
      <c r="R1083" s="1"/>
    </row>
    <row r="1084" spans="1:18">
      <c r="A1084" s="1"/>
      <c r="Q1084" s="1"/>
      <c r="R1084" s="1"/>
    </row>
    <row r="1085" spans="1:18">
      <c r="A1085" s="1"/>
      <c r="Q1085" s="1"/>
      <c r="R1085" s="1"/>
    </row>
    <row r="1086" spans="1:18">
      <c r="A1086" s="1"/>
      <c r="Q1086" s="1"/>
      <c r="R1086" s="1"/>
    </row>
    <row r="1087" spans="1:18">
      <c r="A1087" s="1"/>
      <c r="Q1087" s="1"/>
      <c r="R1087" s="1"/>
    </row>
    <row r="1088" spans="1:18">
      <c r="A1088" s="1"/>
      <c r="Q1088" s="1"/>
      <c r="R1088" s="1"/>
    </row>
    <row r="1089" spans="1:18">
      <c r="A1089" s="1"/>
      <c r="Q1089" s="1"/>
      <c r="R1089" s="1"/>
    </row>
    <row r="1090" spans="1:18">
      <c r="A1090" s="1"/>
      <c r="Q1090" s="1"/>
      <c r="R1090" s="1"/>
    </row>
    <row r="1091" spans="1:18">
      <c r="A1091" s="1"/>
      <c r="Q1091" s="1"/>
      <c r="R1091" s="1"/>
    </row>
    <row r="1092" spans="1:18">
      <c r="A1092" s="1"/>
      <c r="Q1092" s="1"/>
      <c r="R1092" s="1"/>
    </row>
    <row r="1093" spans="1:18">
      <c r="A1093" s="1"/>
      <c r="Q1093" s="1"/>
      <c r="R1093" s="1"/>
    </row>
    <row r="1094" spans="1:18">
      <c r="A1094" s="1"/>
      <c r="Q1094" s="1"/>
      <c r="R1094" s="1"/>
    </row>
    <row r="1095" spans="1:18">
      <c r="A1095" s="1"/>
      <c r="Q1095" s="1"/>
      <c r="R1095" s="1"/>
    </row>
    <row r="1096" spans="1:18">
      <c r="A1096" s="1"/>
      <c r="Q1096" s="1"/>
      <c r="R1096" s="1"/>
    </row>
    <row r="1097" spans="1:18">
      <c r="A1097" s="1"/>
      <c r="Q1097" s="1"/>
      <c r="R1097" s="1"/>
    </row>
    <row r="1098" spans="1:18">
      <c r="A1098" s="1"/>
      <c r="Q1098" s="1"/>
      <c r="R1098" s="1"/>
    </row>
    <row r="1099" spans="1:18">
      <c r="A1099" s="1"/>
      <c r="Q1099" s="1"/>
      <c r="R1099" s="1"/>
    </row>
    <row r="1100" spans="1:18">
      <c r="A1100" s="1"/>
      <c r="Q1100" s="1"/>
      <c r="R1100" s="1"/>
    </row>
    <row r="1101" spans="1:18">
      <c r="A1101" s="1"/>
      <c r="Q1101" s="1"/>
      <c r="R1101" s="1"/>
    </row>
    <row r="1102" spans="1:18">
      <c r="A1102" s="1"/>
      <c r="Q1102" s="1"/>
      <c r="R1102" s="1"/>
    </row>
    <row r="1103" spans="1:18">
      <c r="A1103" s="1"/>
      <c r="Q1103" s="1"/>
      <c r="R1103" s="1"/>
    </row>
    <row r="1104" spans="1:18">
      <c r="A1104" s="1"/>
      <c r="Q1104" s="1"/>
      <c r="R1104" s="1"/>
    </row>
    <row r="1105" spans="1:18">
      <c r="A1105" s="1"/>
      <c r="Q1105" s="1"/>
      <c r="R1105" s="1"/>
    </row>
    <row r="1106" spans="1:18">
      <c r="A1106" s="1"/>
      <c r="Q1106" s="1"/>
      <c r="R1106" s="1"/>
    </row>
    <row r="1107" spans="1:18">
      <c r="A1107" s="1"/>
      <c r="Q1107" s="1"/>
      <c r="R1107" s="1"/>
    </row>
    <row r="1108" spans="1:18">
      <c r="A1108" s="1"/>
      <c r="Q1108" s="1"/>
      <c r="R1108" s="1"/>
    </row>
    <row r="1109" spans="1:18">
      <c r="A1109" s="1"/>
      <c r="Q1109" s="1"/>
      <c r="R1109" s="1"/>
    </row>
    <row r="1110" spans="1:18">
      <c r="A1110" s="1"/>
      <c r="Q1110" s="1"/>
      <c r="R1110" s="1"/>
    </row>
    <row r="1111" spans="1:18">
      <c r="A1111" s="1"/>
      <c r="Q1111" s="1"/>
      <c r="R1111" s="1"/>
    </row>
    <row r="1112" spans="1:18">
      <c r="A1112" s="1"/>
      <c r="Q1112" s="1"/>
      <c r="R1112" s="1"/>
    </row>
    <row r="1113" spans="1:18">
      <c r="A1113" s="1"/>
      <c r="Q1113" s="1"/>
      <c r="R1113" s="1"/>
    </row>
    <row r="1114" spans="1:18">
      <c r="A1114" s="1"/>
      <c r="Q1114" s="1"/>
      <c r="R1114" s="1"/>
    </row>
    <row r="1115" spans="1:18">
      <c r="A1115" s="1"/>
      <c r="Q1115" s="1"/>
      <c r="R1115" s="1"/>
    </row>
    <row r="1116" spans="1:18">
      <c r="A1116" s="1"/>
      <c r="Q1116" s="1"/>
      <c r="R1116" s="1"/>
    </row>
    <row r="1117" spans="1:18">
      <c r="A1117" s="1"/>
      <c r="Q1117" s="1"/>
      <c r="R1117" s="1"/>
    </row>
    <row r="1118" spans="1:18">
      <c r="A1118" s="1"/>
      <c r="Q1118" s="1"/>
      <c r="R1118" s="1"/>
    </row>
    <row r="1119" spans="1:18">
      <c r="A1119" s="1"/>
      <c r="Q1119" s="1"/>
      <c r="R1119" s="1"/>
    </row>
    <row r="1120" spans="1:18">
      <c r="A1120" s="1"/>
      <c r="Q1120" s="1"/>
      <c r="R1120" s="1"/>
    </row>
    <row r="1121" spans="1:18">
      <c r="A1121" s="1"/>
      <c r="Q1121" s="1"/>
      <c r="R1121" s="1"/>
    </row>
    <row r="1122" spans="1:18">
      <c r="A1122" s="1"/>
      <c r="Q1122" s="1"/>
      <c r="R1122" s="1"/>
    </row>
    <row r="1123" spans="1:18">
      <c r="A1123" s="1"/>
      <c r="Q1123" s="1"/>
      <c r="R1123" s="1"/>
    </row>
    <row r="1124" spans="1:18">
      <c r="A1124" s="1"/>
      <c r="Q1124" s="1"/>
      <c r="R1124" s="1"/>
    </row>
    <row r="1125" spans="1:18">
      <c r="A1125" s="1"/>
      <c r="Q1125" s="1"/>
      <c r="R1125" s="1"/>
    </row>
    <row r="1126" spans="1:18">
      <c r="A1126" s="1"/>
      <c r="Q1126" s="1"/>
      <c r="R1126" s="1"/>
    </row>
    <row r="1127" spans="1:18">
      <c r="A1127" s="1"/>
      <c r="Q1127" s="1"/>
      <c r="R1127" s="1"/>
    </row>
    <row r="1128" spans="1:18">
      <c r="A1128" s="1"/>
      <c r="Q1128" s="1"/>
      <c r="R1128" s="1"/>
    </row>
    <row r="1129" spans="1:18">
      <c r="A1129" s="1"/>
      <c r="Q1129" s="1"/>
      <c r="R1129" s="1"/>
    </row>
    <row r="1130" spans="1:18">
      <c r="A1130" s="1"/>
      <c r="Q1130" s="1"/>
      <c r="R1130" s="1"/>
    </row>
    <row r="1131" spans="1:18">
      <c r="A1131" s="1"/>
      <c r="Q1131" s="1"/>
      <c r="R1131" s="1"/>
    </row>
    <row r="1132" spans="1:18">
      <c r="A1132" s="1"/>
      <c r="Q1132" s="1"/>
      <c r="R1132" s="1"/>
    </row>
    <row r="1133" spans="1:18">
      <c r="A1133" s="1"/>
      <c r="Q1133" s="1"/>
      <c r="R1133" s="1"/>
    </row>
    <row r="1134" spans="1:18">
      <c r="A1134" s="1"/>
      <c r="Q1134" s="1"/>
      <c r="R1134" s="1"/>
    </row>
    <row r="1135" spans="1:18">
      <c r="A1135" s="1"/>
      <c r="Q1135" s="1"/>
      <c r="R1135" s="1"/>
    </row>
    <row r="1136" spans="1:18">
      <c r="A1136" s="1"/>
      <c r="Q1136" s="1"/>
      <c r="R1136" s="1"/>
    </row>
    <row r="1137" spans="1:18">
      <c r="A1137" s="1"/>
      <c r="Q1137" s="1"/>
      <c r="R1137" s="1"/>
    </row>
    <row r="1138" spans="1:18">
      <c r="A1138" s="1"/>
      <c r="Q1138" s="1"/>
      <c r="R1138" s="1"/>
    </row>
    <row r="1139" spans="1:18">
      <c r="A1139" s="1"/>
      <c r="Q1139" s="1"/>
      <c r="R1139" s="1"/>
    </row>
    <row r="1140" spans="1:18">
      <c r="A1140" s="1"/>
      <c r="Q1140" s="1"/>
      <c r="R1140" s="1"/>
    </row>
    <row r="1141" spans="1:18">
      <c r="A1141" s="1"/>
      <c r="Q1141" s="1"/>
      <c r="R1141" s="1"/>
    </row>
    <row r="1142" spans="1:18">
      <c r="A1142" s="1"/>
      <c r="Q1142" s="1"/>
      <c r="R1142" s="1"/>
    </row>
    <row r="1143" spans="1:18">
      <c r="A1143" s="1"/>
      <c r="Q1143" s="1"/>
      <c r="R1143" s="1"/>
    </row>
    <row r="1144" spans="1:18">
      <c r="A1144" s="1"/>
      <c r="Q1144" s="1"/>
      <c r="R1144" s="1"/>
    </row>
    <row r="1145" spans="1:18">
      <c r="A1145" s="1"/>
      <c r="Q1145" s="1"/>
      <c r="R1145" s="1"/>
    </row>
    <row r="1146" spans="1:18">
      <c r="A1146" s="1"/>
      <c r="Q1146" s="1"/>
      <c r="R1146" s="1"/>
    </row>
    <row r="1147" spans="1:18">
      <c r="A1147" s="1"/>
      <c r="Q1147" s="1"/>
      <c r="R1147" s="1"/>
    </row>
    <row r="1148" spans="1:18">
      <c r="A1148" s="1"/>
      <c r="Q1148" s="1"/>
      <c r="R1148" s="1"/>
    </row>
    <row r="1149" spans="1:18">
      <c r="A1149" s="1"/>
      <c r="Q1149" s="1"/>
      <c r="R1149" s="1"/>
    </row>
    <row r="1150" spans="1:18">
      <c r="A1150" s="1"/>
      <c r="Q1150" s="1"/>
      <c r="R1150" s="1"/>
    </row>
    <row r="1151" spans="1:18">
      <c r="A1151" s="1"/>
      <c r="Q1151" s="1"/>
      <c r="R1151" s="1"/>
    </row>
    <row r="1152" spans="1:18">
      <c r="A1152" s="1"/>
      <c r="Q1152" s="1"/>
      <c r="R1152" s="1"/>
    </row>
    <row r="1153" spans="1:18">
      <c r="A1153" s="1"/>
      <c r="Q1153" s="1"/>
      <c r="R1153" s="1"/>
    </row>
    <row r="1154" spans="1:18">
      <c r="A1154" s="1"/>
      <c r="Q1154" s="1"/>
      <c r="R1154" s="1"/>
    </row>
    <row r="1155" spans="1:18">
      <c r="A1155" s="1"/>
      <c r="Q1155" s="1"/>
      <c r="R1155" s="1"/>
    </row>
    <row r="1156" spans="1:18">
      <c r="A1156" s="1"/>
      <c r="Q1156" s="1"/>
      <c r="R1156" s="1"/>
    </row>
    <row r="1157" spans="1:18">
      <c r="A1157" s="1"/>
      <c r="Q1157" s="1"/>
      <c r="R1157" s="1"/>
    </row>
    <row r="1158" spans="1:18">
      <c r="A1158" s="1"/>
      <c r="Q1158" s="1"/>
      <c r="R1158" s="1"/>
    </row>
    <row r="1159" spans="1:18">
      <c r="A1159" s="1"/>
      <c r="Q1159" s="1"/>
      <c r="R1159" s="1"/>
    </row>
    <row r="1160" spans="1:18">
      <c r="A1160" s="1"/>
      <c r="Q1160" s="1"/>
      <c r="R1160" s="1"/>
    </row>
    <row r="1161" spans="1:18">
      <c r="A1161" s="1"/>
      <c r="Q1161" s="1"/>
      <c r="R1161" s="1"/>
    </row>
    <row r="1162" spans="1:18">
      <c r="A1162" s="1"/>
      <c r="Q1162" s="1"/>
      <c r="R1162" s="1"/>
    </row>
    <row r="1163" spans="1:18">
      <c r="A1163" s="1"/>
      <c r="Q1163" s="1"/>
      <c r="R1163" s="1"/>
    </row>
    <row r="1164" spans="1:18">
      <c r="A1164" s="1"/>
      <c r="Q1164" s="1"/>
      <c r="R1164" s="1"/>
    </row>
    <row r="1165" spans="1:18">
      <c r="A1165" s="1"/>
      <c r="Q1165" s="1"/>
      <c r="R1165" s="1"/>
    </row>
    <row r="1166" spans="1:18">
      <c r="A1166" s="1"/>
      <c r="Q1166" s="1"/>
      <c r="R1166" s="1"/>
    </row>
    <row r="1167" spans="1:18">
      <c r="A1167" s="1"/>
      <c r="Q1167" s="1"/>
      <c r="R1167" s="1"/>
    </row>
    <row r="1168" spans="1:18">
      <c r="A1168" s="1"/>
      <c r="Q1168" s="1"/>
      <c r="R1168" s="1"/>
    </row>
    <row r="1169" spans="1:18">
      <c r="A1169" s="1"/>
      <c r="Q1169" s="1"/>
      <c r="R1169" s="1"/>
    </row>
    <row r="1170" spans="1:18">
      <c r="A1170" s="1"/>
      <c r="Q1170" s="1"/>
      <c r="R1170" s="1"/>
    </row>
    <row r="1171" spans="1:18">
      <c r="A1171" s="1"/>
      <c r="Q1171" s="1"/>
      <c r="R1171" s="1"/>
    </row>
    <row r="1172" spans="1:18">
      <c r="A1172" s="1"/>
      <c r="Q1172" s="1"/>
      <c r="R1172" s="1"/>
    </row>
    <row r="1173" spans="1:18">
      <c r="A1173" s="1"/>
      <c r="Q1173" s="1"/>
      <c r="R1173" s="1"/>
    </row>
    <row r="1174" spans="1:18">
      <c r="A1174" s="1"/>
      <c r="Q1174" s="1"/>
      <c r="R1174" s="1"/>
    </row>
    <row r="1175" spans="1:18">
      <c r="A1175" s="1"/>
      <c r="Q1175" s="1"/>
      <c r="R1175" s="1"/>
    </row>
    <row r="1176" spans="1:18">
      <c r="A1176" s="1"/>
      <c r="Q1176" s="1"/>
      <c r="R1176" s="1"/>
    </row>
    <row r="1177" spans="1:18">
      <c r="A1177" s="1"/>
      <c r="Q1177" s="1"/>
      <c r="R1177" s="1"/>
    </row>
    <row r="1178" spans="1:18">
      <c r="A1178" s="1"/>
      <c r="Q1178" s="1"/>
      <c r="R1178" s="1"/>
    </row>
    <row r="1179" spans="1:18">
      <c r="A1179" s="1"/>
      <c r="Q1179" s="1"/>
      <c r="R1179" s="1"/>
    </row>
    <row r="1180" spans="1:18">
      <c r="A1180" s="1"/>
      <c r="Q1180" s="1"/>
      <c r="R1180" s="1"/>
    </row>
    <row r="1181" spans="1:18">
      <c r="A1181" s="1"/>
      <c r="Q1181" s="1"/>
      <c r="R1181" s="1"/>
    </row>
    <row r="1182" spans="1:18">
      <c r="A1182" s="1"/>
      <c r="Q1182" s="1"/>
      <c r="R1182" s="1"/>
    </row>
    <row r="1183" spans="1:18">
      <c r="A1183" s="1"/>
      <c r="Q1183" s="1"/>
      <c r="R1183" s="1"/>
    </row>
    <row r="1184" spans="1:18">
      <c r="A1184" s="1"/>
      <c r="Q1184" s="1"/>
      <c r="R1184" s="1"/>
    </row>
    <row r="1185" spans="1:18">
      <c r="A1185" s="1"/>
      <c r="Q1185" s="1"/>
      <c r="R1185" s="1"/>
    </row>
    <row r="1186" spans="1:18">
      <c r="A1186" s="1"/>
      <c r="Q1186" s="1"/>
      <c r="R1186" s="1"/>
    </row>
    <row r="1187" spans="1:18">
      <c r="A1187" s="1"/>
      <c r="Q1187" s="1"/>
      <c r="R1187" s="1"/>
    </row>
    <row r="1188" spans="1:18">
      <c r="A1188" s="1"/>
      <c r="Q1188" s="1"/>
      <c r="R1188" s="1"/>
    </row>
    <row r="1189" spans="1:18">
      <c r="A1189" s="1"/>
      <c r="Q1189" s="1"/>
      <c r="R1189" s="1"/>
    </row>
    <row r="1190" spans="1:18">
      <c r="A1190" s="1"/>
      <c r="Q1190" s="1"/>
      <c r="R1190" s="1"/>
    </row>
    <row r="1191" spans="1:18">
      <c r="A1191" s="1"/>
      <c r="Q1191" s="1"/>
      <c r="R1191" s="1"/>
    </row>
    <row r="1192" spans="1:18">
      <c r="A1192" s="1"/>
      <c r="Q1192" s="1"/>
      <c r="R1192" s="1"/>
    </row>
    <row r="1193" spans="1:18">
      <c r="A1193" s="1"/>
      <c r="Q1193" s="1"/>
      <c r="R1193" s="1"/>
    </row>
    <row r="1194" spans="1:18">
      <c r="A1194" s="1"/>
      <c r="Q1194" s="1"/>
      <c r="R1194" s="1"/>
    </row>
    <row r="1195" spans="1:18">
      <c r="A1195" s="1"/>
      <c r="Q1195" s="1"/>
      <c r="R1195" s="1"/>
    </row>
    <row r="1196" spans="1:18">
      <c r="A1196" s="1"/>
      <c r="Q1196" s="1"/>
      <c r="R1196" s="1"/>
    </row>
    <row r="1197" spans="1:18">
      <c r="A1197" s="1"/>
      <c r="Q1197" s="1"/>
      <c r="R1197" s="1"/>
    </row>
    <row r="1198" spans="1:18">
      <c r="A1198" s="1"/>
      <c r="Q1198" s="1"/>
      <c r="R1198" s="1"/>
    </row>
    <row r="1199" spans="1:18">
      <c r="A1199" s="1"/>
      <c r="Q1199" s="1"/>
      <c r="R1199" s="1"/>
    </row>
    <row r="1200" spans="1:18">
      <c r="A1200" s="1"/>
      <c r="Q1200" s="1"/>
      <c r="R1200" s="1"/>
    </row>
    <row r="1201" spans="1:18">
      <c r="A1201" s="1"/>
      <c r="Q1201" s="1"/>
      <c r="R1201" s="1"/>
    </row>
    <row r="1202" spans="1:18">
      <c r="A1202" s="1"/>
      <c r="Q1202" s="1"/>
      <c r="R1202" s="1"/>
    </row>
    <row r="1203" spans="1:18">
      <c r="A1203" s="1"/>
      <c r="Q1203" s="1"/>
      <c r="R1203" s="1"/>
    </row>
    <row r="1204" spans="1:18">
      <c r="A1204" s="1"/>
      <c r="Q1204" s="1"/>
      <c r="R1204" s="1"/>
    </row>
    <row r="1205" spans="1:18">
      <c r="A1205" s="1"/>
      <c r="Q1205" s="1"/>
      <c r="R1205" s="1"/>
    </row>
    <row r="1206" spans="1:18">
      <c r="A1206" s="1"/>
      <c r="Q1206" s="1"/>
      <c r="R1206" s="1"/>
    </row>
    <row r="1207" spans="1:18">
      <c r="A1207" s="1"/>
      <c r="Q1207" s="1"/>
      <c r="R1207" s="1"/>
    </row>
    <row r="1208" spans="1:18">
      <c r="A1208" s="1"/>
      <c r="Q1208" s="1"/>
      <c r="R1208" s="1"/>
    </row>
    <row r="1209" spans="1:18">
      <c r="A1209" s="1"/>
      <c r="Q1209" s="1"/>
      <c r="R1209" s="1"/>
    </row>
    <row r="1210" spans="1:18">
      <c r="A1210" s="1"/>
      <c r="Q1210" s="1"/>
      <c r="R1210" s="1"/>
    </row>
    <row r="1211" spans="1:18">
      <c r="A1211" s="1"/>
      <c r="Q1211" s="1"/>
      <c r="R1211" s="1"/>
    </row>
    <row r="1212" spans="1:18">
      <c r="A1212" s="1"/>
      <c r="Q1212" s="1"/>
      <c r="R1212" s="1"/>
    </row>
    <row r="1213" spans="1:18">
      <c r="A1213" s="1"/>
      <c r="Q1213" s="1"/>
      <c r="R1213" s="1"/>
    </row>
    <row r="1214" spans="1:18">
      <c r="A1214" s="1"/>
      <c r="Q1214" s="1"/>
      <c r="R1214" s="1"/>
    </row>
    <row r="1215" spans="1:18">
      <c r="A1215" s="1"/>
      <c r="Q1215" s="1"/>
      <c r="R1215" s="1"/>
    </row>
    <row r="1216" spans="1:18">
      <c r="A1216" s="1"/>
      <c r="Q1216" s="1"/>
      <c r="R1216" s="1"/>
    </row>
    <row r="1217" spans="1:18">
      <c r="A1217" s="1"/>
      <c r="Q1217" s="1"/>
      <c r="R1217" s="1"/>
    </row>
    <row r="1218" spans="1:18">
      <c r="A1218" s="1"/>
      <c r="Q1218" s="1"/>
      <c r="R1218" s="1"/>
    </row>
    <row r="1219" spans="1:18">
      <c r="A1219" s="1"/>
      <c r="Q1219" s="1"/>
      <c r="R1219" s="1"/>
    </row>
    <row r="1220" spans="1:18">
      <c r="A1220" s="1"/>
      <c r="Q1220" s="1"/>
      <c r="R1220" s="1"/>
    </row>
    <row r="1221" spans="1:18">
      <c r="A1221" s="1"/>
      <c r="Q1221" s="1"/>
      <c r="R1221" s="1"/>
    </row>
    <row r="1222" spans="1:18">
      <c r="A1222" s="1"/>
      <c r="Q1222" s="1"/>
      <c r="R1222" s="1"/>
    </row>
    <row r="1223" spans="1:18">
      <c r="A1223" s="1"/>
      <c r="Q1223" s="1"/>
      <c r="R1223" s="1"/>
    </row>
    <row r="1224" spans="1:18">
      <c r="A1224" s="1"/>
      <c r="Q1224" s="1"/>
      <c r="R1224" s="1"/>
    </row>
    <row r="1225" spans="1:18">
      <c r="A1225" s="1"/>
      <c r="Q1225" s="1"/>
      <c r="R1225" s="1"/>
    </row>
    <row r="1226" spans="1:18">
      <c r="A1226" s="1"/>
      <c r="Q1226" s="1"/>
      <c r="R1226" s="1"/>
    </row>
    <row r="1227" spans="1:18">
      <c r="A1227" s="1"/>
      <c r="Q1227" s="1"/>
      <c r="R1227" s="1"/>
    </row>
    <row r="1228" spans="1:18">
      <c r="A1228" s="1"/>
      <c r="Q1228" s="1"/>
      <c r="R1228" s="1"/>
    </row>
    <row r="1229" spans="1:18">
      <c r="A1229" s="1"/>
      <c r="Q1229" s="1"/>
      <c r="R1229" s="1"/>
    </row>
    <row r="1230" spans="1:18">
      <c r="A1230" s="1"/>
      <c r="Q1230" s="1"/>
      <c r="R1230" s="1"/>
    </row>
    <row r="1231" spans="1:18">
      <c r="A1231" s="1"/>
      <c r="Q1231" s="1"/>
      <c r="R1231" s="1"/>
    </row>
    <row r="1232" spans="1:18">
      <c r="A1232" s="1"/>
      <c r="Q1232" s="1"/>
      <c r="R1232" s="1"/>
    </row>
    <row r="1233" spans="1:18">
      <c r="A1233" s="1"/>
      <c r="Q1233" s="1"/>
      <c r="R1233" s="1"/>
    </row>
    <row r="1234" spans="1:18">
      <c r="A1234" s="1"/>
      <c r="Q1234" s="1"/>
      <c r="R1234" s="1"/>
    </row>
    <row r="1235" spans="1:18">
      <c r="A1235" s="1"/>
      <c r="Q1235" s="1"/>
      <c r="R1235" s="1"/>
    </row>
    <row r="1236" spans="1:18">
      <c r="A1236" s="1"/>
      <c r="Q1236" s="1"/>
      <c r="R1236" s="1"/>
    </row>
    <row r="1237" spans="1:18">
      <c r="A1237" s="1"/>
      <c r="Q1237" s="1"/>
      <c r="R1237" s="1"/>
    </row>
    <row r="1238" spans="1:18">
      <c r="A1238" s="1"/>
      <c r="Q1238" s="1"/>
      <c r="R1238" s="1"/>
    </row>
    <row r="1239" spans="1:18">
      <c r="A1239" s="1"/>
      <c r="Q1239" s="1"/>
      <c r="R1239" s="1"/>
    </row>
    <row r="1240" spans="1:18">
      <c r="A1240" s="1"/>
      <c r="Q1240" s="1"/>
      <c r="R1240" s="1"/>
    </row>
    <row r="1241" spans="1:18">
      <c r="A1241" s="1"/>
      <c r="Q1241" s="1"/>
      <c r="R1241" s="1"/>
    </row>
    <row r="1242" spans="1:18">
      <c r="A1242" s="1"/>
      <c r="Q1242" s="1"/>
      <c r="R1242" s="1"/>
    </row>
    <row r="1243" spans="1:18">
      <c r="A1243" s="1"/>
      <c r="Q1243" s="1"/>
      <c r="R1243" s="1"/>
    </row>
    <row r="1244" spans="1:18">
      <c r="A1244" s="1"/>
      <c r="Q1244" s="1"/>
      <c r="R1244" s="1"/>
    </row>
    <row r="1245" spans="1:18">
      <c r="A1245" s="1"/>
      <c r="Q1245" s="1"/>
      <c r="R1245" s="1"/>
    </row>
    <row r="1246" spans="1:18">
      <c r="A1246" s="1"/>
      <c r="Q1246" s="1"/>
      <c r="R1246" s="1"/>
    </row>
    <row r="1247" spans="1:18">
      <c r="A1247" s="1"/>
      <c r="Q1247" s="1"/>
      <c r="R1247" s="1"/>
    </row>
    <row r="1248" spans="1:18">
      <c r="A1248" s="1"/>
      <c r="Q1248" s="1"/>
      <c r="R1248" s="1"/>
    </row>
    <row r="1249" spans="1:18">
      <c r="A1249" s="1"/>
      <c r="Q1249" s="1"/>
      <c r="R1249" s="1"/>
    </row>
    <row r="1250" spans="1:18">
      <c r="A1250" s="1"/>
      <c r="Q1250" s="1"/>
      <c r="R1250" s="1"/>
    </row>
    <row r="1251" spans="1:18">
      <c r="A1251" s="1"/>
      <c r="Q1251" s="1"/>
      <c r="R1251" s="1"/>
    </row>
    <row r="1252" spans="1:18">
      <c r="A1252" s="1"/>
      <c r="Q1252" s="1"/>
      <c r="R1252" s="1"/>
    </row>
    <row r="1253" spans="1:18">
      <c r="A1253" s="1"/>
      <c r="Q1253" s="1"/>
      <c r="R1253" s="1"/>
    </row>
    <row r="1254" spans="1:18">
      <c r="A1254" s="1"/>
      <c r="Q1254" s="1"/>
      <c r="R1254" s="1"/>
    </row>
    <row r="1255" spans="1:18">
      <c r="A1255" s="1"/>
      <c r="Q1255" s="1"/>
      <c r="R1255" s="1"/>
    </row>
    <row r="1256" spans="1:18">
      <c r="A1256" s="1"/>
      <c r="Q1256" s="1"/>
      <c r="R1256" s="1"/>
    </row>
    <row r="1257" spans="1:18">
      <c r="A1257" s="1"/>
      <c r="Q1257" s="1"/>
      <c r="R1257" s="1"/>
    </row>
    <row r="1258" spans="1:18">
      <c r="A1258" s="1"/>
      <c r="Q1258" s="1"/>
      <c r="R1258" s="1"/>
    </row>
    <row r="1259" spans="1:18">
      <c r="A1259" s="1"/>
      <c r="Q1259" s="1"/>
      <c r="R1259" s="1"/>
    </row>
    <row r="1260" spans="1:18">
      <c r="A1260" s="1"/>
      <c r="Q1260" s="1"/>
      <c r="R1260" s="1"/>
    </row>
    <row r="1261" spans="1:18">
      <c r="A1261" s="1"/>
      <c r="Q1261" s="1"/>
      <c r="R1261" s="1"/>
    </row>
    <row r="1262" spans="1:18">
      <c r="A1262" s="1"/>
      <c r="Q1262" s="1"/>
      <c r="R1262" s="1"/>
    </row>
    <row r="1263" spans="1:18">
      <c r="A1263" s="1"/>
      <c r="Q1263" s="1"/>
      <c r="R1263" s="1"/>
    </row>
    <row r="1264" spans="1:18">
      <c r="A1264" s="1"/>
      <c r="Q1264" s="1"/>
      <c r="R1264" s="1"/>
    </row>
    <row r="1265" spans="1:18">
      <c r="A1265" s="1"/>
      <c r="Q1265" s="1"/>
      <c r="R1265" s="1"/>
    </row>
    <row r="1266" spans="1:18">
      <c r="A1266" s="1"/>
      <c r="Q1266" s="1"/>
      <c r="R1266" s="1"/>
    </row>
    <row r="1267" spans="1:18">
      <c r="A1267" s="1"/>
      <c r="Q1267" s="1"/>
      <c r="R1267" s="1"/>
    </row>
    <row r="1268" spans="1:18">
      <c r="A1268" s="1"/>
      <c r="Q1268" s="1"/>
      <c r="R1268" s="1"/>
    </row>
    <row r="1269" spans="1:18">
      <c r="A1269" s="1"/>
      <c r="Q1269" s="1"/>
      <c r="R1269" s="1"/>
    </row>
    <row r="1270" spans="1:18">
      <c r="A1270" s="1"/>
      <c r="Q1270" s="1"/>
      <c r="R1270" s="1"/>
    </row>
    <row r="1271" spans="1:18">
      <c r="A1271" s="1"/>
      <c r="Q1271" s="1"/>
      <c r="R1271" s="1"/>
    </row>
    <row r="1272" spans="1:18">
      <c r="A1272" s="1"/>
      <c r="Q1272" s="1"/>
      <c r="R1272" s="1"/>
    </row>
    <row r="1273" spans="1:18">
      <c r="A1273" s="1"/>
      <c r="Q1273" s="1"/>
      <c r="R1273" s="1"/>
    </row>
    <row r="1274" spans="1:18">
      <c r="A1274" s="1"/>
      <c r="Q1274" s="1"/>
      <c r="R1274" s="1"/>
    </row>
    <row r="1275" spans="1:18">
      <c r="A1275" s="1"/>
      <c r="Q1275" s="1"/>
      <c r="R1275" s="1"/>
    </row>
    <row r="1276" spans="1:18">
      <c r="A1276" s="1"/>
      <c r="Q1276" s="1"/>
      <c r="R1276" s="1"/>
    </row>
    <row r="1277" spans="1:18">
      <c r="A1277" s="1"/>
      <c r="Q1277" s="1"/>
      <c r="R1277" s="1"/>
    </row>
    <row r="1278" spans="1:18">
      <c r="A1278" s="1"/>
      <c r="Q1278" s="1"/>
      <c r="R1278" s="1"/>
    </row>
    <row r="1279" spans="1:18">
      <c r="A1279" s="1"/>
      <c r="Q1279" s="1"/>
      <c r="R1279" s="1"/>
    </row>
    <row r="1280" spans="1:18">
      <c r="A1280" s="1"/>
      <c r="Q1280" s="1"/>
      <c r="R1280" s="1"/>
    </row>
    <row r="1281" spans="1:18">
      <c r="A1281" s="1"/>
      <c r="Q1281" s="1"/>
      <c r="R1281" s="1"/>
    </row>
    <row r="1282" spans="1:18">
      <c r="A1282" s="1"/>
      <c r="Q1282" s="1"/>
      <c r="R1282" s="1"/>
    </row>
    <row r="1283" spans="1:18">
      <c r="A1283" s="1"/>
      <c r="Q1283" s="1"/>
      <c r="R1283" s="1"/>
    </row>
    <row r="1284" spans="1:18">
      <c r="A1284" s="1"/>
      <c r="Q1284" s="1"/>
      <c r="R1284" s="1"/>
    </row>
    <row r="1285" spans="1:18">
      <c r="A1285" s="1"/>
      <c r="Q1285" s="1"/>
      <c r="R1285" s="1"/>
    </row>
    <row r="1286" spans="1:18">
      <c r="A1286" s="1"/>
      <c r="Q1286" s="1"/>
      <c r="R1286" s="1"/>
    </row>
    <row r="1287" spans="1:18">
      <c r="A1287" s="1"/>
      <c r="Q1287" s="1"/>
      <c r="R1287" s="1"/>
    </row>
    <row r="1288" spans="1:18">
      <c r="A1288" s="1"/>
      <c r="Q1288" s="1"/>
      <c r="R1288" s="1"/>
    </row>
    <row r="1289" spans="1:18">
      <c r="A1289" s="1"/>
      <c r="Q1289" s="1"/>
      <c r="R1289" s="1"/>
    </row>
    <row r="1290" spans="1:18">
      <c r="A1290" s="1"/>
      <c r="Q1290" s="1"/>
      <c r="R1290" s="1"/>
    </row>
    <row r="1291" spans="1:18">
      <c r="A1291" s="1"/>
      <c r="Q1291" s="1"/>
      <c r="R1291" s="1"/>
    </row>
    <row r="1292" spans="1:18">
      <c r="A1292" s="1"/>
      <c r="Q1292" s="1"/>
      <c r="R1292" s="1"/>
    </row>
    <row r="1293" spans="1:18">
      <c r="A1293" s="1"/>
      <c r="Q1293" s="1"/>
      <c r="R1293" s="1"/>
    </row>
    <row r="1294" spans="1:18">
      <c r="A1294" s="1"/>
      <c r="Q1294" s="1"/>
      <c r="R1294" s="1"/>
    </row>
    <row r="1295" spans="1:18">
      <c r="A1295" s="1"/>
      <c r="Q1295" s="1"/>
      <c r="R1295" s="1"/>
    </row>
    <row r="1296" spans="1:18">
      <c r="A1296" s="1"/>
      <c r="Q1296" s="1"/>
      <c r="R1296" s="1"/>
    </row>
    <row r="1297" spans="1:18">
      <c r="A1297" s="1"/>
      <c r="Q1297" s="1"/>
      <c r="R1297" s="1"/>
    </row>
    <row r="1298" spans="1:18">
      <c r="A1298" s="1"/>
      <c r="Q1298" s="1"/>
      <c r="R1298" s="1"/>
    </row>
    <row r="1299" spans="1:18">
      <c r="A1299" s="1"/>
      <c r="Q1299" s="1"/>
      <c r="R1299" s="1"/>
    </row>
    <row r="1300" spans="1:18">
      <c r="A1300" s="1"/>
      <c r="Q1300" s="1"/>
      <c r="R1300" s="1"/>
    </row>
    <row r="1301" spans="1:18">
      <c r="A1301" s="1"/>
      <c r="Q1301" s="1"/>
      <c r="R1301" s="1"/>
    </row>
    <row r="1302" spans="1:18">
      <c r="A1302" s="1"/>
      <c r="Q1302" s="1"/>
      <c r="R1302" s="1"/>
    </row>
    <row r="1303" spans="1:18">
      <c r="A1303" s="1"/>
      <c r="Q1303" s="1"/>
      <c r="R1303" s="1"/>
    </row>
    <row r="1304" spans="1:18">
      <c r="A1304" s="1"/>
      <c r="Q1304" s="1"/>
      <c r="R1304" s="1"/>
    </row>
    <row r="1305" spans="1:18">
      <c r="A1305" s="1"/>
      <c r="Q1305" s="1"/>
      <c r="R1305" s="1"/>
    </row>
    <row r="1306" spans="1:18">
      <c r="A1306" s="1"/>
      <c r="Q1306" s="1"/>
      <c r="R1306" s="1"/>
    </row>
    <row r="1307" spans="1:18">
      <c r="A1307" s="1"/>
      <c r="Q1307" s="1"/>
      <c r="R1307" s="1"/>
    </row>
    <row r="1308" spans="1:18">
      <c r="A1308" s="1"/>
      <c r="Q1308" s="1"/>
      <c r="R1308" s="1"/>
    </row>
    <row r="1309" spans="1:18">
      <c r="A1309" s="1"/>
      <c r="Q1309" s="1"/>
      <c r="R1309" s="1"/>
    </row>
    <row r="1310" spans="1:18">
      <c r="A1310" s="1"/>
      <c r="Q1310" s="1"/>
      <c r="R1310" s="1"/>
    </row>
    <row r="1311" spans="1:18">
      <c r="A1311" s="1"/>
      <c r="Q1311" s="1"/>
      <c r="R1311" s="1"/>
    </row>
    <row r="1312" spans="1:18">
      <c r="A1312" s="1"/>
      <c r="Q1312" s="1"/>
      <c r="R1312" s="1"/>
    </row>
    <row r="1313" spans="1:18">
      <c r="A1313" s="1"/>
      <c r="Q1313" s="1"/>
      <c r="R1313" s="1"/>
    </row>
    <row r="1314" spans="1:18">
      <c r="A1314" s="1"/>
      <c r="Q1314" s="1"/>
      <c r="R1314" s="1"/>
    </row>
    <row r="1315" spans="1:18">
      <c r="A1315" s="1"/>
      <c r="Q1315" s="1"/>
      <c r="R1315" s="1"/>
    </row>
    <row r="1316" spans="1:18">
      <c r="A1316" s="1"/>
      <c r="Q1316" s="1"/>
      <c r="R1316" s="1"/>
    </row>
    <row r="1317" spans="1:18">
      <c r="A1317" s="1"/>
      <c r="Q1317" s="1"/>
      <c r="R1317" s="1"/>
    </row>
    <row r="1318" spans="1:18">
      <c r="A1318" s="1"/>
      <c r="Q1318" s="1"/>
      <c r="R1318" s="1"/>
    </row>
    <row r="1319" spans="1:18">
      <c r="A1319" s="1"/>
      <c r="Q1319" s="1"/>
      <c r="R1319" s="1"/>
    </row>
    <row r="1320" spans="1:18">
      <c r="A1320" s="1"/>
      <c r="Q1320" s="1"/>
      <c r="R1320" s="1"/>
    </row>
    <row r="1321" spans="1:18">
      <c r="A1321" s="1"/>
      <c r="Q1321" s="1"/>
      <c r="R1321" s="1"/>
    </row>
    <row r="1322" spans="1:18">
      <c r="A1322" s="1"/>
      <c r="Q1322" s="1"/>
      <c r="R1322" s="1"/>
    </row>
    <row r="1323" spans="1:18">
      <c r="A1323" s="1"/>
      <c r="Q1323" s="1"/>
      <c r="R1323" s="1"/>
    </row>
    <row r="1324" spans="1:18">
      <c r="A1324" s="1"/>
      <c r="Q1324" s="1"/>
      <c r="R1324" s="1"/>
    </row>
    <row r="1325" spans="1:18">
      <c r="A1325" s="1"/>
      <c r="Q1325" s="1"/>
      <c r="R1325" s="1"/>
    </row>
    <row r="1326" spans="1:18">
      <c r="A1326" s="1"/>
      <c r="Q1326" s="1"/>
      <c r="R1326" s="1"/>
    </row>
    <row r="1327" spans="1:18">
      <c r="A1327" s="1"/>
      <c r="Q1327" s="1"/>
      <c r="R1327" s="1"/>
    </row>
    <row r="1328" spans="1:18">
      <c r="A1328" s="1"/>
      <c r="Q1328" s="1"/>
      <c r="R1328" s="1"/>
    </row>
    <row r="1329" spans="1:18">
      <c r="A1329" s="1"/>
      <c r="Q1329" s="1"/>
      <c r="R1329" s="1"/>
    </row>
    <row r="1330" spans="1:18">
      <c r="A1330" s="1"/>
      <c r="Q1330" s="1"/>
      <c r="R1330" s="1"/>
    </row>
    <row r="1331" spans="1:18">
      <c r="A1331" s="1"/>
      <c r="Q1331" s="1"/>
      <c r="R1331" s="1"/>
    </row>
    <row r="1332" spans="1:18">
      <c r="A1332" s="1"/>
      <c r="Q1332" s="1"/>
      <c r="R1332" s="1"/>
    </row>
    <row r="1333" spans="1:18">
      <c r="A1333" s="1"/>
      <c r="Q1333" s="1"/>
      <c r="R1333" s="1"/>
    </row>
    <row r="1334" spans="1:18">
      <c r="A1334" s="1"/>
      <c r="Q1334" s="1"/>
      <c r="R1334" s="1"/>
    </row>
    <row r="1335" spans="1:18">
      <c r="A1335" s="1"/>
      <c r="Q1335" s="1"/>
      <c r="R1335" s="1"/>
    </row>
    <row r="1336" spans="1:18">
      <c r="A1336" s="1"/>
      <c r="Q1336" s="1"/>
      <c r="R1336" s="1"/>
    </row>
    <row r="1337" spans="1:18">
      <c r="A1337" s="1"/>
      <c r="Q1337" s="1"/>
      <c r="R1337" s="1"/>
    </row>
    <row r="1338" spans="1:18">
      <c r="A1338" s="1"/>
      <c r="Q1338" s="1"/>
      <c r="R1338" s="1"/>
    </row>
    <row r="1339" spans="1:18">
      <c r="A1339" s="1"/>
      <c r="Q1339" s="1"/>
      <c r="R1339" s="1"/>
    </row>
    <row r="1340" spans="1:18">
      <c r="A1340" s="1"/>
      <c r="Q1340" s="1"/>
      <c r="R1340" s="1"/>
    </row>
    <row r="1341" spans="1:18">
      <c r="A1341" s="1"/>
      <c r="Q1341" s="1"/>
      <c r="R1341" s="1"/>
    </row>
    <row r="1342" spans="1:18">
      <c r="A1342" s="1"/>
      <c r="Q1342" s="1"/>
      <c r="R1342" s="1"/>
    </row>
    <row r="1343" spans="1:18">
      <c r="A1343" s="1"/>
      <c r="Q1343" s="1"/>
      <c r="R1343" s="1"/>
    </row>
    <row r="1344" spans="1:18">
      <c r="A1344" s="1"/>
      <c r="Q1344" s="1"/>
      <c r="R1344" s="1"/>
    </row>
    <row r="1345" spans="1:18">
      <c r="A1345" s="1"/>
      <c r="Q1345" s="1"/>
      <c r="R1345" s="1"/>
    </row>
    <row r="1346" spans="1:18">
      <c r="A1346" s="1"/>
      <c r="Q1346" s="1"/>
      <c r="R1346" s="1"/>
    </row>
    <row r="1347" spans="1:18">
      <c r="A1347" s="1"/>
      <c r="Q1347" s="1"/>
      <c r="R1347" s="1"/>
    </row>
    <row r="1348" spans="1:18">
      <c r="A1348" s="1"/>
      <c r="Q1348" s="1"/>
      <c r="R1348" s="1"/>
    </row>
    <row r="1349" spans="1:18">
      <c r="A1349" s="1"/>
      <c r="Q1349" s="1"/>
      <c r="R1349" s="1"/>
    </row>
    <row r="1350" spans="1:18">
      <c r="A1350" s="1"/>
      <c r="Q1350" s="1"/>
      <c r="R1350" s="1"/>
    </row>
    <row r="1351" spans="1:18">
      <c r="A1351" s="1"/>
      <c r="Q1351" s="1"/>
      <c r="R1351" s="1"/>
    </row>
    <row r="1352" spans="1:18">
      <c r="A1352" s="1"/>
      <c r="Q1352" s="1"/>
      <c r="R1352" s="1"/>
    </row>
    <row r="1353" spans="1:18">
      <c r="A1353" s="1"/>
      <c r="Q1353" s="1"/>
      <c r="R1353" s="1"/>
    </row>
    <row r="1354" spans="1:18">
      <c r="A1354" s="1"/>
      <c r="Q1354" s="1"/>
      <c r="R1354" s="1"/>
    </row>
    <row r="1355" spans="1:18">
      <c r="A1355" s="1"/>
      <c r="Q1355" s="1"/>
      <c r="R1355" s="1"/>
    </row>
    <row r="1356" spans="1:18">
      <c r="A1356" s="1"/>
      <c r="Q1356" s="1"/>
      <c r="R1356" s="1"/>
    </row>
    <row r="1357" spans="1:18">
      <c r="A1357" s="1"/>
      <c r="Q1357" s="1"/>
      <c r="R1357" s="1"/>
    </row>
    <row r="1358" spans="1:18">
      <c r="A1358" s="1"/>
      <c r="Q1358" s="1"/>
      <c r="R1358" s="1"/>
    </row>
    <row r="1359" spans="1:18">
      <c r="A1359" s="1"/>
      <c r="Q1359" s="1"/>
      <c r="R1359" s="1"/>
    </row>
    <row r="1360" spans="1:18">
      <c r="A1360" s="1"/>
      <c r="Q1360" s="1"/>
      <c r="R1360" s="1"/>
    </row>
    <row r="1361" spans="1:18">
      <c r="A1361" s="1"/>
      <c r="Q1361" s="1"/>
      <c r="R1361" s="1"/>
    </row>
    <row r="1362" spans="1:18">
      <c r="A1362" s="1"/>
      <c r="Q1362" s="1"/>
      <c r="R1362" s="1"/>
    </row>
    <row r="1363" spans="1:18">
      <c r="A1363" s="1"/>
      <c r="Q1363" s="1"/>
      <c r="R1363" s="1"/>
    </row>
    <row r="1364" spans="1:18">
      <c r="A1364" s="1"/>
      <c r="Q1364" s="1"/>
      <c r="R1364" s="1"/>
    </row>
    <row r="1365" spans="1:18">
      <c r="A1365" s="1"/>
      <c r="Q1365" s="1"/>
      <c r="R1365" s="1"/>
    </row>
    <row r="1366" spans="1:18">
      <c r="A1366" s="1"/>
      <c r="Q1366" s="1"/>
      <c r="R1366" s="1"/>
    </row>
    <row r="1367" spans="1:18">
      <c r="A1367" s="1"/>
      <c r="Q1367" s="1"/>
      <c r="R1367" s="1"/>
    </row>
    <row r="1368" spans="1:18">
      <c r="A1368" s="1"/>
      <c r="Q1368" s="1"/>
      <c r="R1368" s="1"/>
    </row>
    <row r="1369" spans="1:18">
      <c r="A1369" s="1"/>
      <c r="Q1369" s="1"/>
      <c r="R1369" s="1"/>
    </row>
    <row r="1370" spans="1:18">
      <c r="A1370" s="1"/>
      <c r="Q1370" s="1"/>
      <c r="R1370" s="1"/>
    </row>
    <row r="1371" spans="1:18">
      <c r="A1371" s="1"/>
      <c r="Q1371" s="1"/>
      <c r="R1371" s="1"/>
    </row>
    <row r="1372" spans="1:18">
      <c r="A1372" s="1"/>
      <c r="Q1372" s="1"/>
      <c r="R1372" s="1"/>
    </row>
    <row r="1373" spans="1:18">
      <c r="A1373" s="1"/>
      <c r="Q1373" s="1"/>
      <c r="R1373" s="1"/>
    </row>
    <row r="1374" spans="1:18">
      <c r="A1374" s="1"/>
      <c r="Q1374" s="1"/>
      <c r="R1374" s="1"/>
    </row>
    <row r="1375" spans="1:18">
      <c r="A1375" s="1"/>
      <c r="Q1375" s="1"/>
      <c r="R1375" s="1"/>
    </row>
    <row r="1376" spans="1:18">
      <c r="A1376" s="1"/>
      <c r="Q1376" s="1"/>
      <c r="R1376" s="1"/>
    </row>
    <row r="1377" spans="1:18">
      <c r="A1377" s="1"/>
      <c r="Q1377" s="1"/>
      <c r="R1377" s="1"/>
    </row>
    <row r="1378" spans="1:18">
      <c r="A1378" s="1"/>
      <c r="Q1378" s="1"/>
      <c r="R1378" s="1"/>
    </row>
    <row r="1379" spans="1:18">
      <c r="A1379" s="1"/>
      <c r="Q1379" s="1"/>
      <c r="R1379" s="1"/>
    </row>
    <row r="1380" spans="1:18">
      <c r="A1380" s="1"/>
      <c r="Q1380" s="1"/>
      <c r="R1380" s="1"/>
    </row>
    <row r="1381" spans="1:18">
      <c r="A1381" s="1"/>
      <c r="Q1381" s="1"/>
      <c r="R1381" s="1"/>
    </row>
    <row r="1382" spans="1:18">
      <c r="A1382" s="1"/>
      <c r="Q1382" s="1"/>
      <c r="R1382" s="1"/>
    </row>
    <row r="1383" spans="1:18">
      <c r="A1383" s="1"/>
      <c r="Q1383" s="1"/>
      <c r="R1383" s="1"/>
    </row>
    <row r="1384" spans="1:18">
      <c r="A1384" s="1"/>
      <c r="Q1384" s="1"/>
      <c r="R1384" s="1"/>
    </row>
    <row r="1385" spans="1:18">
      <c r="A1385" s="1"/>
      <c r="Q1385" s="1"/>
      <c r="R1385" s="1"/>
    </row>
    <row r="1386" spans="1:18">
      <c r="A1386" s="1"/>
      <c r="Q1386" s="1"/>
      <c r="R1386" s="1"/>
    </row>
    <row r="1387" spans="1:18">
      <c r="A1387" s="1"/>
      <c r="Q1387" s="1"/>
      <c r="R1387" s="1"/>
    </row>
    <row r="1388" spans="1:18">
      <c r="A1388" s="1"/>
      <c r="Q1388" s="1"/>
      <c r="R1388" s="1"/>
    </row>
    <row r="1389" spans="1:18">
      <c r="A1389" s="1"/>
      <c r="Q1389" s="1"/>
      <c r="R1389" s="1"/>
    </row>
    <row r="1390" spans="1:18">
      <c r="A1390" s="1"/>
      <c r="Q1390" s="1"/>
      <c r="R1390" s="1"/>
    </row>
    <row r="1391" spans="1:18">
      <c r="A1391" s="1"/>
      <c r="Q1391" s="1"/>
      <c r="R1391" s="1"/>
    </row>
    <row r="1392" spans="1:18">
      <c r="A1392" s="1"/>
      <c r="Q1392" s="1"/>
      <c r="R1392" s="1"/>
    </row>
    <row r="1393" spans="1:18">
      <c r="A1393" s="1"/>
      <c r="Q1393" s="1"/>
      <c r="R1393" s="1"/>
    </row>
    <row r="1394" spans="1:18">
      <c r="A1394" s="1"/>
      <c r="Q1394" s="1"/>
      <c r="R1394" s="1"/>
    </row>
    <row r="1395" spans="1:18">
      <c r="A1395" s="1"/>
      <c r="Q1395" s="1"/>
      <c r="R1395" s="1"/>
    </row>
    <row r="1396" spans="1:18">
      <c r="A1396" s="1"/>
      <c r="Q1396" s="1"/>
      <c r="R1396" s="1"/>
    </row>
    <row r="1397" spans="1:18">
      <c r="A1397" s="1"/>
      <c r="Q1397" s="1"/>
      <c r="R1397" s="1"/>
    </row>
    <row r="1398" spans="1:18">
      <c r="A1398" s="1"/>
      <c r="Q1398" s="1"/>
      <c r="R1398" s="1"/>
    </row>
    <row r="1399" spans="1:18">
      <c r="A1399" s="1"/>
      <c r="Q1399" s="1"/>
      <c r="R1399" s="1"/>
    </row>
    <row r="1400" spans="1:18">
      <c r="A1400" s="1"/>
      <c r="Q1400" s="1"/>
      <c r="R1400" s="1"/>
    </row>
    <row r="1401" spans="1:18">
      <c r="A1401" s="1"/>
      <c r="Q1401" s="1"/>
      <c r="R1401" s="1"/>
    </row>
    <row r="1402" spans="1:18">
      <c r="A1402" s="1"/>
      <c r="Q1402" s="1"/>
      <c r="R1402" s="1"/>
    </row>
    <row r="1403" spans="1:18">
      <c r="A1403" s="1"/>
      <c r="Q1403" s="1"/>
      <c r="R1403" s="1"/>
    </row>
    <row r="1404" spans="1:18">
      <c r="A1404" s="1"/>
      <c r="Q1404" s="1"/>
      <c r="R1404" s="1"/>
    </row>
    <row r="1405" spans="1:18">
      <c r="A1405" s="1"/>
      <c r="Q1405" s="1"/>
      <c r="R1405" s="1"/>
    </row>
    <row r="1406" spans="1:18">
      <c r="A1406" s="1"/>
      <c r="Q1406" s="1"/>
      <c r="R1406" s="1"/>
    </row>
    <row r="1407" spans="1:18">
      <c r="A1407" s="1"/>
      <c r="Q1407" s="1"/>
      <c r="R1407" s="1"/>
    </row>
    <row r="1408" spans="1:18">
      <c r="A1408" s="1"/>
      <c r="Q1408" s="1"/>
      <c r="R1408" s="1"/>
    </row>
    <row r="1409" spans="1:18">
      <c r="A1409" s="1"/>
      <c r="Q1409" s="1"/>
      <c r="R1409" s="1"/>
    </row>
    <row r="1410" spans="1:18">
      <c r="A1410" s="1"/>
      <c r="Q1410" s="1"/>
      <c r="R1410" s="1"/>
    </row>
    <row r="1411" spans="1:18">
      <c r="A1411" s="1"/>
      <c r="Q1411" s="1"/>
      <c r="R1411" s="1"/>
    </row>
    <row r="1412" spans="1:18">
      <c r="A1412" s="1"/>
      <c r="Q1412" s="1"/>
      <c r="R1412" s="1"/>
    </row>
    <row r="1413" spans="1:18">
      <c r="A1413" s="1"/>
      <c r="Q1413" s="1"/>
      <c r="R1413" s="1"/>
    </row>
    <row r="1414" spans="1:18">
      <c r="A1414" s="1"/>
      <c r="Q1414" s="1"/>
      <c r="R1414" s="1"/>
    </row>
    <row r="1415" spans="1:18">
      <c r="A1415" s="1"/>
      <c r="Q1415" s="1"/>
      <c r="R1415" s="1"/>
    </row>
    <row r="1416" spans="1:18">
      <c r="A1416" s="1"/>
      <c r="Q1416" s="1"/>
      <c r="R1416" s="1"/>
    </row>
    <row r="1417" spans="1:18">
      <c r="A1417" s="1"/>
      <c r="Q1417" s="1"/>
      <c r="R1417" s="1"/>
    </row>
    <row r="1418" spans="1:18">
      <c r="A1418" s="1"/>
      <c r="Q1418" s="1"/>
      <c r="R1418" s="1"/>
    </row>
    <row r="1419" spans="1:18">
      <c r="A1419" s="1"/>
      <c r="Q1419" s="1"/>
      <c r="R1419" s="1"/>
    </row>
    <row r="1420" spans="1:18">
      <c r="A1420" s="1"/>
      <c r="Q1420" s="1"/>
      <c r="R1420" s="1"/>
    </row>
    <row r="1421" spans="1:18">
      <c r="A1421" s="1"/>
      <c r="Q1421" s="1"/>
      <c r="R1421" s="1"/>
    </row>
    <row r="1422" spans="1:18">
      <c r="A1422" s="1"/>
      <c r="Q1422" s="1"/>
      <c r="R1422" s="1"/>
    </row>
    <row r="1423" spans="1:18">
      <c r="A1423" s="1"/>
      <c r="Q1423" s="1"/>
      <c r="R1423" s="1"/>
    </row>
    <row r="1424" spans="1:18">
      <c r="A1424" s="1"/>
      <c r="Q1424" s="1"/>
      <c r="R1424" s="1"/>
    </row>
    <row r="1425" spans="1:18">
      <c r="A1425" s="1"/>
      <c r="Q1425" s="1"/>
      <c r="R1425" s="1"/>
    </row>
    <row r="1426" spans="1:18">
      <c r="A1426" s="1"/>
      <c r="Q1426" s="1"/>
      <c r="R1426" s="1"/>
    </row>
    <row r="1427" spans="1:18">
      <c r="A1427" s="1"/>
      <c r="Q1427" s="1"/>
      <c r="R1427" s="1"/>
    </row>
    <row r="1428" spans="1:18">
      <c r="A1428" s="1"/>
      <c r="Q1428" s="1"/>
      <c r="R1428" s="1"/>
    </row>
    <row r="1429" spans="1:18">
      <c r="A1429" s="1"/>
      <c r="Q1429" s="1"/>
      <c r="R1429" s="1"/>
    </row>
    <row r="1430" spans="1:18">
      <c r="A1430" s="1"/>
      <c r="Q1430" s="1"/>
      <c r="R1430" s="1"/>
    </row>
    <row r="1431" spans="1:18">
      <c r="A1431" s="1"/>
      <c r="Q1431" s="1"/>
      <c r="R1431" s="1"/>
    </row>
    <row r="1432" spans="1:18">
      <c r="A1432" s="1"/>
      <c r="Q1432" s="1"/>
      <c r="R1432" s="1"/>
    </row>
    <row r="1433" spans="1:18">
      <c r="A1433" s="1"/>
      <c r="Q1433" s="1"/>
      <c r="R1433" s="1"/>
    </row>
    <row r="1434" spans="1:18">
      <c r="A1434" s="1"/>
      <c r="Q1434" s="1"/>
      <c r="R1434" s="1"/>
    </row>
    <row r="1435" spans="1:18">
      <c r="A1435" s="1"/>
      <c r="Q1435" s="1"/>
      <c r="R1435" s="1"/>
    </row>
    <row r="1436" spans="1:18">
      <c r="A1436" s="1"/>
      <c r="Q1436" s="1"/>
      <c r="R1436" s="1"/>
    </row>
    <row r="1437" spans="1:18">
      <c r="A1437" s="1"/>
      <c r="Q1437" s="1"/>
      <c r="R1437" s="1"/>
    </row>
    <row r="1438" spans="1:18">
      <c r="A1438" s="1"/>
      <c r="Q1438" s="1"/>
      <c r="R1438" s="1"/>
    </row>
    <row r="1439" spans="1:18">
      <c r="A1439" s="1"/>
      <c r="Q1439" s="1"/>
      <c r="R1439" s="1"/>
    </row>
    <row r="1440" spans="1:18">
      <c r="A1440" s="1"/>
      <c r="Q1440" s="1"/>
      <c r="R1440" s="1"/>
    </row>
    <row r="1441" spans="1:18">
      <c r="A1441" s="1"/>
      <c r="Q1441" s="1"/>
      <c r="R1441" s="1"/>
    </row>
    <row r="1442" spans="1:18">
      <c r="A1442" s="1"/>
      <c r="Q1442" s="1"/>
      <c r="R1442" s="1"/>
    </row>
    <row r="1443" spans="1:18">
      <c r="A1443" s="1"/>
      <c r="Q1443" s="1"/>
      <c r="R1443" s="1"/>
    </row>
    <row r="1444" spans="1:18">
      <c r="A1444" s="1"/>
      <c r="Q1444" s="1"/>
      <c r="R1444" s="1"/>
    </row>
    <row r="1445" spans="1:18">
      <c r="A1445" s="1"/>
      <c r="Q1445" s="1"/>
      <c r="R1445" s="1"/>
    </row>
    <row r="1446" spans="1:18">
      <c r="A1446" s="1"/>
      <c r="Q1446" s="1"/>
      <c r="R1446" s="1"/>
    </row>
    <row r="1447" spans="1:18">
      <c r="A1447" s="1"/>
      <c r="Q1447" s="1"/>
      <c r="R1447" s="1"/>
    </row>
    <row r="1448" spans="1:18">
      <c r="A1448" s="1"/>
      <c r="Q1448" s="1"/>
      <c r="R1448" s="1"/>
    </row>
    <row r="1449" spans="1:18">
      <c r="A1449" s="1"/>
      <c r="Q1449" s="1"/>
      <c r="R1449" s="1"/>
    </row>
    <row r="1450" spans="1:18">
      <c r="A1450" s="1"/>
      <c r="Q1450" s="1"/>
      <c r="R1450" s="1"/>
    </row>
    <row r="1451" spans="1:18">
      <c r="A1451" s="1"/>
      <c r="Q1451" s="1"/>
      <c r="R1451" s="1"/>
    </row>
    <row r="1452" spans="1:18">
      <c r="A1452" s="1"/>
      <c r="Q1452" s="1"/>
      <c r="R1452" s="1"/>
    </row>
    <row r="1453" spans="1:18">
      <c r="A1453" s="1"/>
      <c r="Q1453" s="1"/>
      <c r="R1453" s="1"/>
    </row>
    <row r="1454" spans="1:18">
      <c r="A1454" s="1"/>
      <c r="Q1454" s="1"/>
      <c r="R1454" s="1"/>
    </row>
    <row r="1455" spans="1:18">
      <c r="A1455" s="1"/>
      <c r="Q1455" s="1"/>
      <c r="R1455" s="1"/>
    </row>
    <row r="1456" spans="1:18">
      <c r="A1456" s="1"/>
      <c r="Q1456" s="1"/>
      <c r="R1456" s="1"/>
    </row>
    <row r="1457" spans="1:18">
      <c r="A1457" s="1"/>
      <c r="Q1457" s="1"/>
      <c r="R1457" s="1"/>
    </row>
    <row r="1458" spans="1:18">
      <c r="A1458" s="1"/>
      <c r="Q1458" s="1"/>
      <c r="R1458" s="1"/>
    </row>
    <row r="1459" spans="1:18">
      <c r="A1459" s="1"/>
      <c r="Q1459" s="1"/>
      <c r="R1459" s="1"/>
    </row>
    <row r="1460" spans="1:18">
      <c r="A1460" s="1"/>
      <c r="Q1460" s="1"/>
      <c r="R1460" s="1"/>
    </row>
    <row r="1461" spans="1:18">
      <c r="A1461" s="1"/>
      <c r="Q1461" s="1"/>
      <c r="R1461" s="1"/>
    </row>
    <row r="1462" spans="1:18">
      <c r="A1462" s="1"/>
      <c r="Q1462" s="1"/>
      <c r="R1462" s="1"/>
    </row>
    <row r="1463" spans="1:18">
      <c r="A1463" s="1"/>
      <c r="Q1463" s="1"/>
      <c r="R1463" s="1"/>
    </row>
    <row r="1464" spans="1:18">
      <c r="A1464" s="1"/>
      <c r="Q1464" s="1"/>
      <c r="R1464" s="1"/>
    </row>
    <row r="1465" spans="1:18">
      <c r="A1465" s="1"/>
      <c r="Q1465" s="1"/>
      <c r="R1465" s="1"/>
    </row>
    <row r="1466" spans="1:18">
      <c r="A1466" s="1"/>
      <c r="Q1466" s="1"/>
      <c r="R1466" s="1"/>
    </row>
    <row r="1467" spans="1:18">
      <c r="A1467" s="1"/>
      <c r="Q1467" s="1"/>
      <c r="R1467" s="1"/>
    </row>
    <row r="1468" spans="1:18">
      <c r="A1468" s="1"/>
      <c r="Q1468" s="1"/>
      <c r="R1468" s="1"/>
    </row>
    <row r="1469" spans="1:18">
      <c r="A1469" s="1"/>
      <c r="Q1469" s="1"/>
      <c r="R1469" s="1"/>
    </row>
    <row r="1470" spans="1:18">
      <c r="A1470" s="1"/>
      <c r="Q1470" s="1"/>
      <c r="R1470" s="1"/>
    </row>
    <row r="1471" spans="1:18">
      <c r="A1471" s="1"/>
      <c r="Q1471" s="1"/>
      <c r="R1471" s="1"/>
    </row>
    <row r="1472" spans="1:18">
      <c r="A1472" s="1"/>
      <c r="Q1472" s="1"/>
      <c r="R1472" s="1"/>
    </row>
    <row r="1473" spans="1:18">
      <c r="A1473" s="1"/>
      <c r="Q1473" s="1"/>
      <c r="R1473" s="1"/>
    </row>
    <row r="1474" spans="1:18">
      <c r="A1474" s="1"/>
      <c r="Q1474" s="1"/>
      <c r="R1474" s="1"/>
    </row>
    <row r="1475" spans="1:18">
      <c r="A1475" s="1"/>
      <c r="Q1475" s="1"/>
      <c r="R1475" s="1"/>
    </row>
    <row r="1476" spans="1:18">
      <c r="A1476" s="1"/>
      <c r="Q1476" s="1"/>
      <c r="R1476" s="1"/>
    </row>
    <row r="1477" spans="1:18">
      <c r="A1477" s="1"/>
      <c r="Q1477" s="1"/>
      <c r="R1477" s="1"/>
    </row>
    <row r="1478" spans="1:18">
      <c r="A1478" s="1"/>
      <c r="Q1478" s="1"/>
      <c r="R1478" s="1"/>
    </row>
    <row r="1479" spans="1:18">
      <c r="A1479" s="1"/>
      <c r="Q1479" s="1"/>
      <c r="R1479" s="1"/>
    </row>
    <row r="1480" spans="1:18">
      <c r="A1480" s="1"/>
      <c r="Q1480" s="1"/>
      <c r="R1480" s="1"/>
    </row>
    <row r="1481" spans="1:18">
      <c r="A1481" s="1"/>
      <c r="Q1481" s="1"/>
      <c r="R1481" s="1"/>
    </row>
    <row r="1482" spans="1:18">
      <c r="A1482" s="1"/>
      <c r="Q1482" s="1"/>
      <c r="R1482" s="1"/>
    </row>
    <row r="1483" spans="1:18">
      <c r="A1483" s="1"/>
      <c r="Q1483" s="1"/>
      <c r="R1483" s="1"/>
    </row>
    <row r="1484" spans="1:18">
      <c r="A1484" s="1"/>
      <c r="Q1484" s="1"/>
      <c r="R1484" s="1"/>
    </row>
    <row r="1485" spans="1:18">
      <c r="A1485" s="1"/>
      <c r="Q1485" s="1"/>
      <c r="R1485" s="1"/>
    </row>
    <row r="1486" spans="1:18">
      <c r="A1486" s="1"/>
      <c r="Q1486" s="1"/>
      <c r="R1486" s="1"/>
    </row>
    <row r="1487" spans="1:18">
      <c r="A1487" s="1"/>
      <c r="Q1487" s="1"/>
      <c r="R1487" s="1"/>
    </row>
    <row r="1488" spans="1:18">
      <c r="A1488" s="1"/>
      <c r="Q1488" s="1"/>
      <c r="R1488" s="1"/>
    </row>
    <row r="1489" spans="1:18">
      <c r="A1489" s="1"/>
      <c r="Q1489" s="1"/>
      <c r="R1489" s="1"/>
    </row>
    <row r="1490" spans="1:18">
      <c r="A1490" s="1"/>
      <c r="Q1490" s="1"/>
      <c r="R1490" s="1"/>
    </row>
    <row r="1491" spans="1:18">
      <c r="A1491" s="1"/>
      <c r="Q1491" s="1"/>
      <c r="R1491" s="1"/>
    </row>
    <row r="1492" spans="1:18">
      <c r="A1492" s="1"/>
      <c r="Q1492" s="1"/>
      <c r="R1492" s="1"/>
    </row>
    <row r="1493" spans="1:18">
      <c r="A1493" s="1"/>
      <c r="Q1493" s="1"/>
      <c r="R1493" s="1"/>
    </row>
    <row r="1494" spans="1:18">
      <c r="A1494" s="1"/>
      <c r="Q1494" s="1"/>
      <c r="R1494" s="1"/>
    </row>
    <row r="1495" spans="1:18">
      <c r="A1495" s="1"/>
      <c r="Q1495" s="1"/>
      <c r="R1495" s="1"/>
    </row>
    <row r="1496" spans="1:18">
      <c r="A1496" s="1"/>
      <c r="Q1496" s="1"/>
      <c r="R1496" s="1"/>
    </row>
    <row r="1497" spans="1:18">
      <c r="A1497" s="1"/>
      <c r="Q1497" s="1"/>
      <c r="R1497" s="1"/>
    </row>
    <row r="1498" spans="1:18">
      <c r="A1498" s="1"/>
      <c r="Q1498" s="1"/>
      <c r="R1498" s="1"/>
    </row>
    <row r="1499" spans="1:18">
      <c r="A1499" s="1"/>
      <c r="Q1499" s="1"/>
      <c r="R1499" s="1"/>
    </row>
    <row r="1500" spans="1:18">
      <c r="A1500" s="1"/>
      <c r="Q1500" s="1"/>
      <c r="R1500" s="1"/>
    </row>
    <row r="1501" spans="1:18">
      <c r="A1501" s="1"/>
      <c r="Q1501" s="1"/>
      <c r="R1501" s="1"/>
    </row>
    <row r="1502" spans="1:18">
      <c r="A1502" s="1"/>
      <c r="Q1502" s="1"/>
      <c r="R1502" s="1"/>
    </row>
  </sheetData>
  <mergeCells count="2">
    <mergeCell ref="A1:S1"/>
    <mergeCell ref="AG11:AI11"/>
  </mergeCells>
  <dataValidations count="2">
    <dataValidation type="list" allowBlank="1" showInputMessage="1" showErrorMessage="1" sqref="AO42">
      <formula1>$AF$39:$AI$39</formula1>
    </dataValidation>
    <dataValidation type="list" allowBlank="1" showInputMessage="1" showErrorMessage="1" sqref="AL42">
      <formula1>$AC$40:$AC$49</formula1>
    </dataValidation>
  </dataValidation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theme="9" tint="-0.499984740745262"/>
  </sheetPr>
  <dimension ref="A2:W101"/>
  <sheetViews>
    <sheetView zoomScale="55" zoomScaleNormal="55" workbookViewId="0">
      <selection activeCell="Q83" sqref="Q83"/>
    </sheetView>
  </sheetViews>
  <sheetFormatPr defaultRowHeight="14.4"/>
  <cols>
    <col min="1" max="1" width="5" bestFit="1" customWidth="1"/>
    <col min="2" max="2" width="17.6640625" customWidth="1"/>
    <col min="3" max="3" width="13.33203125" customWidth="1"/>
    <col min="4" max="4" width="13.44140625" customWidth="1"/>
    <col min="5" max="5" width="11" customWidth="1"/>
    <col min="6" max="6" width="12.5546875" customWidth="1"/>
    <col min="7" max="7" width="12.44140625" customWidth="1"/>
    <col min="8" max="8" width="17.21875" customWidth="1"/>
    <col min="9" max="9" width="15.44140625" customWidth="1"/>
    <col min="10" max="10" width="14.44140625" customWidth="1"/>
    <col min="11" max="11" width="15.44140625" customWidth="1"/>
    <col min="12" max="12" width="18" customWidth="1"/>
    <col min="13" max="13" width="14.109375" customWidth="1"/>
    <col min="14" max="14" width="16.109375" customWidth="1"/>
    <col min="15" max="15" width="15.109375" customWidth="1"/>
    <col min="16" max="16" width="19" customWidth="1"/>
    <col min="17" max="17" width="16.5546875" bestFit="1" customWidth="1"/>
    <col min="18" max="18" width="22.44140625" customWidth="1"/>
    <col min="19" max="19" width="16.88671875" customWidth="1"/>
    <col min="20" max="20" width="21" customWidth="1"/>
  </cols>
  <sheetData>
    <row r="2" spans="1:23" ht="31.2">
      <c r="A2" s="48" t="s">
        <v>250</v>
      </c>
      <c r="B2" s="49"/>
      <c r="C2" s="49"/>
      <c r="D2" s="49"/>
      <c r="E2" s="49"/>
      <c r="F2" s="49"/>
      <c r="G2" s="49"/>
      <c r="H2" s="49"/>
      <c r="I2" s="49"/>
      <c r="J2" s="49"/>
      <c r="K2" s="49"/>
      <c r="L2" s="49"/>
      <c r="M2" s="49"/>
      <c r="N2" s="49"/>
      <c r="O2" s="49"/>
      <c r="P2" s="49"/>
      <c r="Q2" s="49"/>
      <c r="R2" s="49"/>
      <c r="S2" s="49"/>
      <c r="T2" s="4"/>
    </row>
    <row r="3" spans="1:23">
      <c r="A3" s="5" t="s">
        <v>251</v>
      </c>
      <c r="B3" s="6" t="s">
        <v>0</v>
      </c>
      <c r="C3" s="6" t="s">
        <v>1</v>
      </c>
      <c r="D3" s="6" t="s">
        <v>2</v>
      </c>
      <c r="E3" s="6" t="s">
        <v>3</v>
      </c>
      <c r="F3" s="39" t="s">
        <v>286</v>
      </c>
      <c r="G3" s="6" t="s">
        <v>5</v>
      </c>
      <c r="H3" s="6" t="s">
        <v>6</v>
      </c>
      <c r="I3" s="6" t="s">
        <v>7</v>
      </c>
      <c r="J3" s="6" t="s">
        <v>8</v>
      </c>
      <c r="K3" s="39" t="s">
        <v>285</v>
      </c>
      <c r="L3" s="6" t="s">
        <v>10</v>
      </c>
      <c r="M3" s="6" t="s">
        <v>11</v>
      </c>
      <c r="N3" s="6" t="s">
        <v>12</v>
      </c>
      <c r="O3" s="6" t="s">
        <v>13</v>
      </c>
      <c r="P3" s="6" t="s">
        <v>14</v>
      </c>
      <c r="Q3" s="6" t="s">
        <v>15</v>
      </c>
      <c r="R3" s="6" t="s">
        <v>16</v>
      </c>
      <c r="S3" s="6" t="s">
        <v>17</v>
      </c>
      <c r="T3" s="6" t="s">
        <v>18</v>
      </c>
      <c r="U3" s="40" t="s">
        <v>275</v>
      </c>
    </row>
    <row r="4" spans="1:23" hidden="1">
      <c r="A4" s="7">
        <v>1</v>
      </c>
      <c r="B4" s="35">
        <v>44675</v>
      </c>
      <c r="C4" s="9" t="s">
        <v>19</v>
      </c>
      <c r="D4" s="9" t="s">
        <v>24</v>
      </c>
      <c r="E4" s="9">
        <v>14</v>
      </c>
      <c r="F4" s="37">
        <v>559</v>
      </c>
      <c r="G4" s="9" t="s">
        <v>31</v>
      </c>
      <c r="H4" s="9" t="s">
        <v>282</v>
      </c>
      <c r="I4" s="23">
        <v>0</v>
      </c>
      <c r="J4" s="9" t="s">
        <v>37</v>
      </c>
      <c r="K4" s="9">
        <v>2290.4</v>
      </c>
      <c r="L4" s="9" t="s">
        <v>43</v>
      </c>
      <c r="M4" s="9" t="s">
        <v>48</v>
      </c>
      <c r="N4" s="9">
        <v>0</v>
      </c>
      <c r="O4" s="9" t="s">
        <v>51</v>
      </c>
      <c r="P4" s="9" t="s">
        <v>148</v>
      </c>
      <c r="Q4" s="36">
        <v>220</v>
      </c>
      <c r="R4" s="43">
        <v>44980</v>
      </c>
      <c r="S4" s="8">
        <v>44984</v>
      </c>
      <c r="T4" s="9" t="s">
        <v>248</v>
      </c>
      <c r="U4" s="8" t="s">
        <v>274</v>
      </c>
    </row>
    <row r="5" spans="1:23" hidden="1">
      <c r="A5" s="7">
        <v>2</v>
      </c>
      <c r="B5" s="35">
        <v>45004</v>
      </c>
      <c r="C5" s="9" t="s">
        <v>20</v>
      </c>
      <c r="D5" s="9" t="s">
        <v>25</v>
      </c>
      <c r="E5" s="9">
        <v>1</v>
      </c>
      <c r="F5" s="37">
        <v>694</v>
      </c>
      <c r="G5" s="9" t="s">
        <v>32</v>
      </c>
      <c r="H5" s="9" t="s">
        <v>280</v>
      </c>
      <c r="I5" s="23">
        <v>0</v>
      </c>
      <c r="J5" s="9" t="s">
        <v>38</v>
      </c>
      <c r="K5" s="9">
        <v>544.01</v>
      </c>
      <c r="L5" s="9" t="s">
        <v>44</v>
      </c>
      <c r="M5" s="9" t="s">
        <v>49</v>
      </c>
      <c r="N5" s="11">
        <v>0</v>
      </c>
      <c r="O5" s="9" t="s">
        <v>52</v>
      </c>
      <c r="P5" s="9" t="s">
        <v>149</v>
      </c>
      <c r="Q5" s="36">
        <v>440</v>
      </c>
      <c r="R5" s="43">
        <v>45645</v>
      </c>
      <c r="S5" s="8">
        <v>45654</v>
      </c>
      <c r="T5" s="9" t="s">
        <v>249</v>
      </c>
      <c r="U5" s="8" t="s">
        <v>276</v>
      </c>
    </row>
    <row r="6" spans="1:23" hidden="1">
      <c r="A6" s="7">
        <v>3</v>
      </c>
      <c r="B6" s="35">
        <v>45056</v>
      </c>
      <c r="C6" s="9" t="s">
        <v>21</v>
      </c>
      <c r="D6" s="9" t="s">
        <v>26</v>
      </c>
      <c r="E6" s="9">
        <v>14</v>
      </c>
      <c r="F6" s="37">
        <v>666</v>
      </c>
      <c r="G6" s="9" t="s">
        <v>31</v>
      </c>
      <c r="H6" s="9" t="s">
        <v>281</v>
      </c>
      <c r="I6" s="23">
        <v>0.1</v>
      </c>
      <c r="J6" s="9" t="s">
        <v>38</v>
      </c>
      <c r="K6" s="9">
        <v>4361.8680000000004</v>
      </c>
      <c r="L6" s="9" t="s">
        <v>43</v>
      </c>
      <c r="M6" s="9" t="s">
        <v>50</v>
      </c>
      <c r="N6" s="9">
        <v>0</v>
      </c>
      <c r="O6" s="9" t="s">
        <v>53</v>
      </c>
      <c r="P6" s="9" t="s">
        <v>150</v>
      </c>
      <c r="Q6" s="36">
        <v>329</v>
      </c>
      <c r="R6" s="43">
        <v>45056</v>
      </c>
      <c r="S6" s="8">
        <v>45065</v>
      </c>
      <c r="T6" s="9" t="s">
        <v>247</v>
      </c>
      <c r="U6" s="8" t="s">
        <v>277</v>
      </c>
      <c r="W6" t="b">
        <f>ISNUMBER(B7)</f>
        <v>1</v>
      </c>
    </row>
    <row r="7" spans="1:23">
      <c r="A7" s="7">
        <v>4</v>
      </c>
      <c r="B7" s="35">
        <v>45714</v>
      </c>
      <c r="C7" s="9" t="s">
        <v>22</v>
      </c>
      <c r="D7" s="9" t="s">
        <v>27</v>
      </c>
      <c r="E7" s="9">
        <v>18</v>
      </c>
      <c r="F7" s="37">
        <v>479</v>
      </c>
      <c r="G7" s="9" t="s">
        <v>32</v>
      </c>
      <c r="H7" s="9" t="s">
        <v>282</v>
      </c>
      <c r="I7" s="23">
        <v>0.15</v>
      </c>
      <c r="J7" s="9" t="s">
        <v>39</v>
      </c>
      <c r="K7" s="9">
        <v>58746</v>
      </c>
      <c r="L7" s="9" t="s">
        <v>44</v>
      </c>
      <c r="M7" s="9" t="s">
        <v>48</v>
      </c>
      <c r="N7" s="9">
        <v>0</v>
      </c>
      <c r="O7" s="9" t="s">
        <v>54</v>
      </c>
      <c r="P7" s="9" t="s">
        <v>151</v>
      </c>
      <c r="Q7" s="36">
        <v>848483</v>
      </c>
      <c r="R7" s="43">
        <v>45714</v>
      </c>
      <c r="S7" s="8">
        <v>45718</v>
      </c>
      <c r="T7" s="9" t="s">
        <v>249</v>
      </c>
      <c r="U7" s="8" t="s">
        <v>278</v>
      </c>
    </row>
    <row r="8" spans="1:23" hidden="1">
      <c r="A8" s="7">
        <v>5</v>
      </c>
      <c r="B8" s="35">
        <v>45101</v>
      </c>
      <c r="C8" s="9" t="s">
        <v>19</v>
      </c>
      <c r="D8" s="9" t="s">
        <v>26</v>
      </c>
      <c r="E8" s="9">
        <v>18</v>
      </c>
      <c r="F8" s="37">
        <v>619</v>
      </c>
      <c r="G8" s="9" t="s">
        <v>33</v>
      </c>
      <c r="H8" s="9" t="s">
        <v>282</v>
      </c>
      <c r="I8" s="23">
        <v>0</v>
      </c>
      <c r="J8" s="9" t="s">
        <v>40</v>
      </c>
      <c r="K8" s="9">
        <v>4279.68</v>
      </c>
      <c r="L8" s="9" t="s">
        <v>43</v>
      </c>
      <c r="M8" s="9" t="s">
        <v>49</v>
      </c>
      <c r="N8" s="9">
        <v>0</v>
      </c>
      <c r="O8" s="9" t="s">
        <v>55</v>
      </c>
      <c r="P8" s="9" t="s">
        <v>152</v>
      </c>
      <c r="Q8" s="36">
        <v>160</v>
      </c>
      <c r="R8" s="43">
        <v>45101</v>
      </c>
      <c r="S8" s="8">
        <v>45104</v>
      </c>
      <c r="T8" s="9" t="s">
        <v>248</v>
      </c>
      <c r="U8" s="8" t="s">
        <v>279</v>
      </c>
    </row>
    <row r="9" spans="1:23">
      <c r="A9" s="7">
        <v>6</v>
      </c>
      <c r="B9" s="35">
        <v>45342</v>
      </c>
      <c r="C9" s="9" t="s">
        <v>22</v>
      </c>
      <c r="D9" s="9" t="s">
        <v>28</v>
      </c>
      <c r="E9" s="9">
        <v>2</v>
      </c>
      <c r="F9" s="37">
        <v>575</v>
      </c>
      <c r="G9" s="9" t="s">
        <v>34</v>
      </c>
      <c r="H9" s="9" t="s">
        <v>280</v>
      </c>
      <c r="I9" s="23">
        <v>0.15</v>
      </c>
      <c r="J9" s="9" t="s">
        <v>41</v>
      </c>
      <c r="K9" s="9">
        <v>654.65299999999991</v>
      </c>
      <c r="L9" s="9" t="s">
        <v>45</v>
      </c>
      <c r="M9" s="9"/>
      <c r="N9" s="9">
        <v>0</v>
      </c>
      <c r="O9" s="9" t="s">
        <v>56</v>
      </c>
      <c r="P9" s="9" t="s">
        <v>153</v>
      </c>
      <c r="Q9" s="36">
        <v>26346</v>
      </c>
      <c r="R9" s="43">
        <v>45342</v>
      </c>
      <c r="S9" s="8">
        <v>45352</v>
      </c>
      <c r="T9" s="9" t="s">
        <v>249</v>
      </c>
      <c r="U9" s="8" t="s">
        <v>274</v>
      </c>
    </row>
    <row r="10" spans="1:23" hidden="1">
      <c r="A10" s="7">
        <v>7</v>
      </c>
      <c r="B10" s="35">
        <v>44937</v>
      </c>
      <c r="C10" s="9" t="s">
        <v>20</v>
      </c>
      <c r="D10" s="9" t="s">
        <v>27</v>
      </c>
      <c r="E10" s="9">
        <v>7</v>
      </c>
      <c r="F10" s="37">
        <v>842</v>
      </c>
      <c r="G10" s="9" t="s">
        <v>33</v>
      </c>
      <c r="H10" s="9" t="s">
        <v>281</v>
      </c>
      <c r="I10" s="23">
        <v>0.1</v>
      </c>
      <c r="J10" s="9" t="s">
        <v>38</v>
      </c>
      <c r="K10" s="9">
        <v>110.25</v>
      </c>
      <c r="L10" s="9" t="s">
        <v>46</v>
      </c>
      <c r="M10" s="9" t="s">
        <v>50</v>
      </c>
      <c r="N10" s="9">
        <v>0</v>
      </c>
      <c r="O10" s="9" t="s">
        <v>57</v>
      </c>
      <c r="P10" s="9" t="s">
        <v>154</v>
      </c>
      <c r="Q10" s="36">
        <v>363</v>
      </c>
      <c r="R10" s="43">
        <v>44937</v>
      </c>
      <c r="S10" s="8">
        <v>44940</v>
      </c>
      <c r="T10" s="9" t="s">
        <v>247</v>
      </c>
      <c r="U10" s="8" t="s">
        <v>276</v>
      </c>
    </row>
    <row r="11" spans="1:23">
      <c r="A11" s="7">
        <v>8</v>
      </c>
      <c r="B11" s="35">
        <v>44935</v>
      </c>
      <c r="C11" s="9" t="s">
        <v>22</v>
      </c>
      <c r="D11" s="9" t="s">
        <v>27</v>
      </c>
      <c r="E11" s="9">
        <v>3</v>
      </c>
      <c r="F11" s="37">
        <v>702</v>
      </c>
      <c r="G11" s="9" t="s">
        <v>33</v>
      </c>
      <c r="H11" s="9" t="s">
        <v>282</v>
      </c>
      <c r="I11" s="23">
        <v>0.15</v>
      </c>
      <c r="J11" s="9" t="s">
        <v>40</v>
      </c>
      <c r="K11" s="9">
        <v>842.06100000000004</v>
      </c>
      <c r="L11" s="9" t="s">
        <v>47</v>
      </c>
      <c r="M11" s="9"/>
      <c r="N11" s="9">
        <v>0</v>
      </c>
      <c r="O11" s="9" t="s">
        <v>58</v>
      </c>
      <c r="P11" s="9" t="s">
        <v>155</v>
      </c>
      <c r="Q11" s="36">
        <v>74456</v>
      </c>
      <c r="R11" s="43">
        <v>44935</v>
      </c>
      <c r="S11" s="8">
        <v>44937</v>
      </c>
      <c r="T11" s="9" t="s">
        <v>249</v>
      </c>
      <c r="U11" s="8" t="s">
        <v>277</v>
      </c>
    </row>
    <row r="12" spans="1:23" hidden="1">
      <c r="A12" s="7">
        <v>9</v>
      </c>
      <c r="B12" s="35">
        <v>44936</v>
      </c>
      <c r="C12" s="9" t="s">
        <v>20</v>
      </c>
      <c r="D12" s="9" t="s">
        <v>27</v>
      </c>
      <c r="E12" s="9">
        <v>3</v>
      </c>
      <c r="F12" s="37">
        <v>895</v>
      </c>
      <c r="G12" s="9" t="s">
        <v>34</v>
      </c>
      <c r="H12" s="9" t="s">
        <v>282</v>
      </c>
      <c r="I12" s="23">
        <v>0.05</v>
      </c>
      <c r="J12" s="9" t="s">
        <v>42</v>
      </c>
      <c r="K12" s="9">
        <v>1231.3140000000001</v>
      </c>
      <c r="L12" s="9" t="s">
        <v>46</v>
      </c>
      <c r="M12" s="9" t="s">
        <v>48</v>
      </c>
      <c r="N12" s="9">
        <v>1</v>
      </c>
      <c r="O12" s="9" t="s">
        <v>59</v>
      </c>
      <c r="P12" s="9" t="s">
        <v>156</v>
      </c>
      <c r="Q12" s="36">
        <v>126</v>
      </c>
      <c r="R12" s="43">
        <v>45581</v>
      </c>
      <c r="S12" s="8">
        <v>45583</v>
      </c>
      <c r="T12" s="9" t="s">
        <v>248</v>
      </c>
      <c r="U12" s="8" t="s">
        <v>278</v>
      </c>
    </row>
    <row r="13" spans="1:23" hidden="1">
      <c r="A13" s="7">
        <v>10</v>
      </c>
      <c r="B13" s="35">
        <v>44937</v>
      </c>
      <c r="C13" s="9" t="s">
        <v>23</v>
      </c>
      <c r="D13" s="9" t="s">
        <v>26</v>
      </c>
      <c r="E13" s="9">
        <v>5</v>
      </c>
      <c r="F13" s="37">
        <v>672</v>
      </c>
      <c r="G13" s="9" t="s">
        <v>34</v>
      </c>
      <c r="H13" s="9" t="s">
        <v>280</v>
      </c>
      <c r="I13" s="23">
        <v>0.1</v>
      </c>
      <c r="J13" s="9" t="s">
        <v>39</v>
      </c>
      <c r="K13" s="9">
        <v>1454.76</v>
      </c>
      <c r="L13" s="9" t="s">
        <v>44</v>
      </c>
      <c r="M13" s="9" t="s">
        <v>49</v>
      </c>
      <c r="N13" s="9">
        <v>0</v>
      </c>
      <c r="O13" s="9" t="s">
        <v>60</v>
      </c>
      <c r="P13" s="22" t="s">
        <v>273</v>
      </c>
      <c r="Q13" s="36">
        <v>367</v>
      </c>
      <c r="R13" s="43">
        <v>45721</v>
      </c>
      <c r="S13" s="8">
        <v>45729</v>
      </c>
      <c r="T13" s="9" t="s">
        <v>249</v>
      </c>
      <c r="U13" s="8" t="s">
        <v>279</v>
      </c>
    </row>
    <row r="14" spans="1:23" hidden="1">
      <c r="A14" s="7">
        <v>11</v>
      </c>
      <c r="B14" s="35">
        <v>44938</v>
      </c>
      <c r="C14" s="9" t="s">
        <v>21</v>
      </c>
      <c r="D14" s="9" t="s">
        <v>26</v>
      </c>
      <c r="E14" s="9">
        <v>15</v>
      </c>
      <c r="F14" s="37">
        <v>957</v>
      </c>
      <c r="G14" s="9" t="s">
        <v>31</v>
      </c>
      <c r="H14" s="9" t="s">
        <v>281</v>
      </c>
      <c r="I14" s="23">
        <v>0.15</v>
      </c>
      <c r="J14" s="9" t="s">
        <v>37</v>
      </c>
      <c r="K14" s="9">
        <v>667.94749999999999</v>
      </c>
      <c r="L14" s="9" t="s">
        <v>46</v>
      </c>
      <c r="M14" s="9"/>
      <c r="N14" s="9">
        <v>0</v>
      </c>
      <c r="O14" s="9" t="s">
        <v>61</v>
      </c>
      <c r="P14" s="9" t="s">
        <v>158</v>
      </c>
      <c r="Q14" s="36">
        <v>307</v>
      </c>
      <c r="R14" s="43">
        <v>45392</v>
      </c>
      <c r="S14" s="8">
        <v>45399</v>
      </c>
      <c r="T14" s="9" t="s">
        <v>247</v>
      </c>
      <c r="U14" s="8" t="s">
        <v>274</v>
      </c>
    </row>
    <row r="15" spans="1:23" hidden="1">
      <c r="A15" s="7">
        <v>12</v>
      </c>
      <c r="B15" s="35">
        <v>44939</v>
      </c>
      <c r="C15" s="9" t="s">
        <v>19</v>
      </c>
      <c r="D15" s="9" t="s">
        <v>25</v>
      </c>
      <c r="E15" s="9">
        <v>19</v>
      </c>
      <c r="F15" s="37">
        <v>391</v>
      </c>
      <c r="G15" s="9" t="s">
        <v>34</v>
      </c>
      <c r="H15" s="9" t="s">
        <v>282</v>
      </c>
      <c r="I15" s="23">
        <v>0.1</v>
      </c>
      <c r="J15" s="9" t="s">
        <v>37</v>
      </c>
      <c r="K15" s="9">
        <v>355.685</v>
      </c>
      <c r="L15" s="9" t="s">
        <v>44</v>
      </c>
      <c r="M15" s="9"/>
      <c r="N15" s="9">
        <v>1</v>
      </c>
      <c r="O15" s="9" t="s">
        <v>62</v>
      </c>
      <c r="P15" s="9" t="s">
        <v>159</v>
      </c>
      <c r="Q15" s="36">
        <v>262</v>
      </c>
      <c r="R15" s="43">
        <v>45485</v>
      </c>
      <c r="S15" s="8">
        <v>45491</v>
      </c>
      <c r="T15" s="9" t="s">
        <v>249</v>
      </c>
      <c r="U15" s="8" t="s">
        <v>276</v>
      </c>
    </row>
    <row r="16" spans="1:23">
      <c r="A16" s="7">
        <v>13</v>
      </c>
      <c r="B16" s="35">
        <v>44940</v>
      </c>
      <c r="C16" s="9" t="s">
        <v>22</v>
      </c>
      <c r="D16" s="9" t="s">
        <v>25</v>
      </c>
      <c r="E16" s="9">
        <v>1</v>
      </c>
      <c r="F16" s="37">
        <v>393</v>
      </c>
      <c r="G16" s="9" t="s">
        <v>31</v>
      </c>
      <c r="H16" s="9" t="s">
        <v>282</v>
      </c>
      <c r="I16" s="23">
        <v>0.05</v>
      </c>
      <c r="J16" s="9" t="s">
        <v>41</v>
      </c>
      <c r="K16" s="9">
        <v>114.5035</v>
      </c>
      <c r="L16" s="9" t="s">
        <v>47</v>
      </c>
      <c r="M16" s="9" t="s">
        <v>50</v>
      </c>
      <c r="N16" s="9">
        <v>0</v>
      </c>
      <c r="O16" s="9" t="s">
        <v>63</v>
      </c>
      <c r="P16" s="9" t="s">
        <v>160</v>
      </c>
      <c r="Q16" s="36">
        <v>2456</v>
      </c>
      <c r="R16" s="43">
        <v>45128</v>
      </c>
      <c r="S16" s="8">
        <v>45138</v>
      </c>
      <c r="T16" s="9" t="s">
        <v>248</v>
      </c>
      <c r="U16" s="8" t="s">
        <v>277</v>
      </c>
    </row>
    <row r="17" spans="1:21" hidden="1">
      <c r="A17" s="7">
        <v>14</v>
      </c>
      <c r="B17" s="35">
        <v>44941</v>
      </c>
      <c r="C17" s="9" t="s">
        <v>23</v>
      </c>
      <c r="D17" s="9" t="s">
        <v>29</v>
      </c>
      <c r="E17" s="9">
        <v>1</v>
      </c>
      <c r="F17" s="37">
        <v>985</v>
      </c>
      <c r="G17" s="9" t="s">
        <v>32</v>
      </c>
      <c r="H17" s="9" t="s">
        <v>280</v>
      </c>
      <c r="I17" s="23">
        <v>0.15</v>
      </c>
      <c r="J17" s="9" t="s">
        <v>40</v>
      </c>
      <c r="K17" s="9">
        <v>134.15549999999999</v>
      </c>
      <c r="L17" s="9" t="s">
        <v>46</v>
      </c>
      <c r="M17" s="9"/>
      <c r="N17" s="9">
        <v>0</v>
      </c>
      <c r="O17" s="9" t="s">
        <v>64</v>
      </c>
      <c r="P17" s="9" t="s">
        <v>161</v>
      </c>
      <c r="Q17" s="36">
        <v>269</v>
      </c>
      <c r="R17" s="43">
        <v>45675</v>
      </c>
      <c r="S17" s="8">
        <v>45679</v>
      </c>
      <c r="T17" s="9" t="s">
        <v>249</v>
      </c>
      <c r="U17" s="8" t="s">
        <v>278</v>
      </c>
    </row>
    <row r="18" spans="1:21" hidden="1">
      <c r="A18" s="7">
        <v>15</v>
      </c>
      <c r="B18" s="35">
        <v>44942</v>
      </c>
      <c r="C18" s="9" t="s">
        <v>21</v>
      </c>
      <c r="D18" s="9" t="s">
        <v>26</v>
      </c>
      <c r="E18" s="9">
        <v>15</v>
      </c>
      <c r="F18" s="37">
        <v>802</v>
      </c>
      <c r="G18" s="9" t="s">
        <v>31</v>
      </c>
      <c r="H18" s="9" t="s">
        <v>281</v>
      </c>
      <c r="I18" s="23">
        <v>0.15</v>
      </c>
      <c r="J18" s="9" t="s">
        <v>41</v>
      </c>
      <c r="K18" s="9">
        <v>2808.8249999999998</v>
      </c>
      <c r="L18" s="9" t="s">
        <v>46</v>
      </c>
      <c r="M18" s="9"/>
      <c r="N18" s="9">
        <v>0</v>
      </c>
      <c r="O18" s="9" t="s">
        <v>65</v>
      </c>
      <c r="P18" s="9" t="s">
        <v>162</v>
      </c>
      <c r="Q18" s="36">
        <v>163</v>
      </c>
      <c r="R18" s="43">
        <v>45634</v>
      </c>
      <c r="S18" s="8">
        <v>45641</v>
      </c>
      <c r="T18" s="9" t="s">
        <v>247</v>
      </c>
      <c r="U18" s="8" t="s">
        <v>279</v>
      </c>
    </row>
    <row r="19" spans="1:21" hidden="1">
      <c r="A19" s="7">
        <v>16</v>
      </c>
      <c r="B19" s="35">
        <v>44943</v>
      </c>
      <c r="C19" s="9" t="s">
        <v>23</v>
      </c>
      <c r="D19" s="9" t="s">
        <v>27</v>
      </c>
      <c r="E19" s="9">
        <v>17</v>
      </c>
      <c r="F19" s="37">
        <v>321</v>
      </c>
      <c r="G19" s="9" t="s">
        <v>32</v>
      </c>
      <c r="H19" s="9" t="s">
        <v>282</v>
      </c>
      <c r="I19" s="23">
        <v>0.05</v>
      </c>
      <c r="J19" s="9" t="s">
        <v>37</v>
      </c>
      <c r="K19" s="9">
        <v>263.80399999999997</v>
      </c>
      <c r="L19" s="9" t="s">
        <v>44</v>
      </c>
      <c r="M19" s="9" t="s">
        <v>48</v>
      </c>
      <c r="N19" s="9">
        <v>0</v>
      </c>
      <c r="O19" s="9" t="s">
        <v>66</v>
      </c>
      <c r="P19" s="9" t="s">
        <v>163</v>
      </c>
      <c r="Q19" s="36">
        <v>439</v>
      </c>
      <c r="R19" s="43">
        <v>45788</v>
      </c>
      <c r="S19" s="8">
        <v>45794</v>
      </c>
      <c r="T19" s="9" t="s">
        <v>249</v>
      </c>
      <c r="U19" s="8" t="s">
        <v>274</v>
      </c>
    </row>
    <row r="20" spans="1:21" hidden="1">
      <c r="A20" s="7">
        <v>17</v>
      </c>
      <c r="B20" s="35">
        <v>44944</v>
      </c>
      <c r="C20" s="9" t="s">
        <v>23</v>
      </c>
      <c r="D20" s="9" t="s">
        <v>24</v>
      </c>
      <c r="E20" s="9">
        <v>19</v>
      </c>
      <c r="F20" s="37">
        <v>604</v>
      </c>
      <c r="G20" s="9" t="s">
        <v>34</v>
      </c>
      <c r="H20" s="9" t="s">
        <v>282</v>
      </c>
      <c r="I20" s="23">
        <v>0</v>
      </c>
      <c r="J20" s="9" t="s">
        <v>42</v>
      </c>
      <c r="K20" s="9">
        <v>4486.09</v>
      </c>
      <c r="L20" s="9" t="s">
        <v>43</v>
      </c>
      <c r="M20" s="9" t="s">
        <v>50</v>
      </c>
      <c r="N20" s="9">
        <v>0</v>
      </c>
      <c r="O20" s="9" t="s">
        <v>67</v>
      </c>
      <c r="P20" s="9" t="s">
        <v>164</v>
      </c>
      <c r="Q20" s="36">
        <v>324</v>
      </c>
      <c r="R20" s="43">
        <v>44983</v>
      </c>
      <c r="S20" s="8">
        <v>44989</v>
      </c>
      <c r="T20" s="9" t="s">
        <v>249</v>
      </c>
      <c r="U20" s="8" t="s">
        <v>276</v>
      </c>
    </row>
    <row r="21" spans="1:21">
      <c r="A21" s="7">
        <v>18</v>
      </c>
      <c r="B21" s="35">
        <v>44945</v>
      </c>
      <c r="C21" s="9" t="s">
        <v>22</v>
      </c>
      <c r="D21" s="9" t="s">
        <v>26</v>
      </c>
      <c r="E21" s="9">
        <v>11</v>
      </c>
      <c r="F21" s="37">
        <v>673</v>
      </c>
      <c r="G21" s="9" t="s">
        <v>34</v>
      </c>
      <c r="H21" s="9" t="s">
        <v>280</v>
      </c>
      <c r="I21" s="23">
        <v>0.05</v>
      </c>
      <c r="J21" s="9" t="s">
        <v>41</v>
      </c>
      <c r="K21" s="9"/>
      <c r="L21" s="9" t="s">
        <v>47</v>
      </c>
      <c r="M21" s="9" t="s">
        <v>49</v>
      </c>
      <c r="N21" s="9">
        <v>0</v>
      </c>
      <c r="O21" s="9" t="s">
        <v>68</v>
      </c>
      <c r="P21" s="9" t="s">
        <v>165</v>
      </c>
      <c r="Q21" s="36">
        <v>65443</v>
      </c>
      <c r="R21" s="43">
        <v>45440</v>
      </c>
      <c r="S21" s="8">
        <v>45444</v>
      </c>
      <c r="T21" s="9" t="s">
        <v>248</v>
      </c>
      <c r="U21" s="8" t="s">
        <v>277</v>
      </c>
    </row>
    <row r="22" spans="1:21" hidden="1">
      <c r="A22" s="7">
        <v>19</v>
      </c>
      <c r="B22" s="35">
        <v>44946</v>
      </c>
      <c r="C22" s="9" t="s">
        <v>19</v>
      </c>
      <c r="D22" s="9" t="s">
        <v>25</v>
      </c>
      <c r="E22" s="9">
        <v>20</v>
      </c>
      <c r="F22" s="37">
        <v>542</v>
      </c>
      <c r="G22" s="9" t="s">
        <v>31</v>
      </c>
      <c r="H22" s="9" t="s">
        <v>281</v>
      </c>
      <c r="I22" s="23">
        <v>0.15</v>
      </c>
      <c r="J22" s="9" t="s">
        <v>40</v>
      </c>
      <c r="K22" s="9">
        <v>8823.6799999999985</v>
      </c>
      <c r="L22" s="9" t="s">
        <v>44</v>
      </c>
      <c r="M22" s="9" t="s">
        <v>48</v>
      </c>
      <c r="N22" s="9">
        <v>0</v>
      </c>
      <c r="O22" s="9" t="s">
        <v>69</v>
      </c>
      <c r="P22" s="9" t="s">
        <v>166</v>
      </c>
      <c r="Q22" s="36">
        <v>131</v>
      </c>
      <c r="R22" s="43">
        <v>45260</v>
      </c>
      <c r="S22" s="8">
        <v>45268</v>
      </c>
      <c r="T22" s="9" t="s">
        <v>245</v>
      </c>
      <c r="U22" s="8" t="s">
        <v>278</v>
      </c>
    </row>
    <row r="23" spans="1:21" hidden="1">
      <c r="A23" s="7">
        <v>20</v>
      </c>
      <c r="B23" s="35">
        <v>44947</v>
      </c>
      <c r="C23" s="9" t="s">
        <v>23</v>
      </c>
      <c r="D23" s="9" t="s">
        <v>26</v>
      </c>
      <c r="E23" s="9">
        <v>14</v>
      </c>
      <c r="F23" s="37">
        <v>972</v>
      </c>
      <c r="G23" s="9" t="s">
        <v>31</v>
      </c>
      <c r="H23" s="9" t="s">
        <v>282</v>
      </c>
      <c r="I23" s="23">
        <v>0</v>
      </c>
      <c r="J23" s="9" t="s">
        <v>40</v>
      </c>
      <c r="K23" s="33">
        <v>431.62</v>
      </c>
      <c r="L23" s="9" t="s">
        <v>43</v>
      </c>
      <c r="M23" s="9" t="s">
        <v>50</v>
      </c>
      <c r="N23" s="9">
        <v>1</v>
      </c>
      <c r="O23" s="9" t="s">
        <v>70</v>
      </c>
      <c r="P23" s="9" t="s">
        <v>167</v>
      </c>
      <c r="Q23" s="36">
        <v>191</v>
      </c>
      <c r="R23" s="43">
        <v>45099</v>
      </c>
      <c r="S23" s="8">
        <v>45109</v>
      </c>
      <c r="T23" s="9" t="s">
        <v>249</v>
      </c>
      <c r="U23" s="8" t="s">
        <v>279</v>
      </c>
    </row>
    <row r="24" spans="1:21" hidden="1">
      <c r="A24" s="7">
        <v>21</v>
      </c>
      <c r="B24" s="35">
        <v>44948</v>
      </c>
      <c r="C24" s="9" t="s">
        <v>23</v>
      </c>
      <c r="D24" s="9" t="s">
        <v>25</v>
      </c>
      <c r="E24" s="9">
        <v>10</v>
      </c>
      <c r="F24" s="37">
        <v>450</v>
      </c>
      <c r="G24" s="9" t="s">
        <v>34</v>
      </c>
      <c r="H24" s="9" t="s">
        <v>282</v>
      </c>
      <c r="I24" s="23">
        <v>0</v>
      </c>
      <c r="J24" s="9" t="s">
        <v>41</v>
      </c>
      <c r="K24" s="9">
        <v>3190.5</v>
      </c>
      <c r="L24" s="9" t="s">
        <v>43</v>
      </c>
      <c r="M24" s="9"/>
      <c r="N24" s="9">
        <v>0</v>
      </c>
      <c r="O24" s="9" t="s">
        <v>71</v>
      </c>
      <c r="P24" s="9" t="s">
        <v>168</v>
      </c>
      <c r="Q24" s="36">
        <v>364</v>
      </c>
      <c r="R24" s="43">
        <v>45813</v>
      </c>
      <c r="S24" s="8">
        <v>45816</v>
      </c>
      <c r="T24" s="9" t="s">
        <v>249</v>
      </c>
      <c r="U24" s="8" t="s">
        <v>274</v>
      </c>
    </row>
    <row r="25" spans="1:21">
      <c r="A25" s="7">
        <v>22</v>
      </c>
      <c r="B25" s="35">
        <v>44949</v>
      </c>
      <c r="C25" s="9" t="s">
        <v>22</v>
      </c>
      <c r="D25" s="9" t="s">
        <v>27</v>
      </c>
      <c r="E25" s="9">
        <v>14</v>
      </c>
      <c r="F25" s="37">
        <v>749</v>
      </c>
      <c r="G25" s="9" t="s">
        <v>32</v>
      </c>
      <c r="H25" s="9" t="s">
        <v>280</v>
      </c>
      <c r="I25" s="23">
        <v>0.05</v>
      </c>
      <c r="J25" s="9" t="s">
        <v>42</v>
      </c>
      <c r="K25" s="9"/>
      <c r="L25" s="9" t="s">
        <v>43</v>
      </c>
      <c r="M25" s="9"/>
      <c r="N25" s="9">
        <v>1</v>
      </c>
      <c r="O25" s="9" t="s">
        <v>72</v>
      </c>
      <c r="P25" s="9" t="s">
        <v>169</v>
      </c>
      <c r="Q25" s="36">
        <v>55555</v>
      </c>
      <c r="R25" s="43">
        <v>44988</v>
      </c>
      <c r="S25" s="8">
        <v>44993</v>
      </c>
      <c r="T25" s="9" t="s">
        <v>248</v>
      </c>
      <c r="U25" s="8" t="s">
        <v>276</v>
      </c>
    </row>
    <row r="26" spans="1:21" hidden="1">
      <c r="A26" s="7">
        <v>23</v>
      </c>
      <c r="B26" s="35">
        <v>44950</v>
      </c>
      <c r="C26" s="9" t="s">
        <v>21</v>
      </c>
      <c r="D26" s="9" t="s">
        <v>24</v>
      </c>
      <c r="E26" s="9">
        <v>14</v>
      </c>
      <c r="F26" s="37">
        <v>346</v>
      </c>
      <c r="G26" s="9" t="s">
        <v>33</v>
      </c>
      <c r="H26" s="9" t="s">
        <v>281</v>
      </c>
      <c r="I26" s="23">
        <v>0</v>
      </c>
      <c r="J26" s="9" t="s">
        <v>40</v>
      </c>
      <c r="K26" s="9">
        <v>5536.3</v>
      </c>
      <c r="L26" s="9" t="s">
        <v>47</v>
      </c>
      <c r="M26" s="9" t="s">
        <v>48</v>
      </c>
      <c r="N26" s="9">
        <v>1</v>
      </c>
      <c r="O26" s="9" t="s">
        <v>73</v>
      </c>
      <c r="P26" s="9" t="s">
        <v>170</v>
      </c>
      <c r="Q26" s="36">
        <v>257</v>
      </c>
      <c r="R26" s="43">
        <v>45340</v>
      </c>
      <c r="S26" s="8">
        <v>45344</v>
      </c>
      <c r="T26" s="9" t="s">
        <v>247</v>
      </c>
      <c r="U26" s="8" t="s">
        <v>277</v>
      </c>
    </row>
    <row r="27" spans="1:21">
      <c r="A27" s="7">
        <v>24</v>
      </c>
      <c r="B27" s="35">
        <v>44951</v>
      </c>
      <c r="C27" s="9" t="s">
        <v>22</v>
      </c>
      <c r="D27" s="9" t="s">
        <v>24</v>
      </c>
      <c r="E27" s="9">
        <v>12</v>
      </c>
      <c r="F27" s="37">
        <v>361</v>
      </c>
      <c r="G27" s="9" t="s">
        <v>34</v>
      </c>
      <c r="H27" s="9" t="s">
        <v>282</v>
      </c>
      <c r="I27" s="23">
        <v>0.15</v>
      </c>
      <c r="J27" s="9" t="s">
        <v>41</v>
      </c>
      <c r="K27" s="9"/>
      <c r="L27" s="9" t="s">
        <v>45</v>
      </c>
      <c r="M27" s="9"/>
      <c r="N27" s="9">
        <v>0</v>
      </c>
      <c r="O27" s="9" t="s">
        <v>74</v>
      </c>
      <c r="P27" s="9" t="s">
        <v>171</v>
      </c>
      <c r="Q27" s="36">
        <v>63643</v>
      </c>
      <c r="R27" s="43">
        <v>45144</v>
      </c>
      <c r="S27" s="8">
        <v>45152</v>
      </c>
      <c r="T27" s="9" t="s">
        <v>248</v>
      </c>
      <c r="U27" s="8" t="s">
        <v>278</v>
      </c>
    </row>
    <row r="28" spans="1:21" hidden="1">
      <c r="A28" s="7">
        <v>25</v>
      </c>
      <c r="B28" s="35">
        <v>44952</v>
      </c>
      <c r="C28" s="9" t="s">
        <v>21</v>
      </c>
      <c r="D28" s="9" t="s">
        <v>26</v>
      </c>
      <c r="E28" s="9">
        <v>5</v>
      </c>
      <c r="F28" s="37">
        <v>289</v>
      </c>
      <c r="G28" s="9" t="s">
        <v>32</v>
      </c>
      <c r="H28" s="9" t="s">
        <v>282</v>
      </c>
      <c r="I28" s="23">
        <v>0</v>
      </c>
      <c r="J28" s="9" t="s">
        <v>37</v>
      </c>
      <c r="K28" s="9">
        <v>1440.05</v>
      </c>
      <c r="L28" s="9" t="s">
        <v>45</v>
      </c>
      <c r="M28" s="9" t="s">
        <v>48</v>
      </c>
      <c r="N28" s="9">
        <v>0</v>
      </c>
      <c r="O28" s="9" t="s">
        <v>75</v>
      </c>
      <c r="P28" s="9" t="s">
        <v>172</v>
      </c>
      <c r="Q28" s="36">
        <v>185</v>
      </c>
      <c r="R28" s="43">
        <v>45435</v>
      </c>
      <c r="S28" s="8">
        <v>45442</v>
      </c>
      <c r="T28" s="9" t="s">
        <v>247</v>
      </c>
      <c r="U28" s="8" t="s">
        <v>279</v>
      </c>
    </row>
    <row r="29" spans="1:21" hidden="1">
      <c r="A29" s="7">
        <v>26</v>
      </c>
      <c r="B29" s="35">
        <v>44953</v>
      </c>
      <c r="C29" s="9" t="s">
        <v>19</v>
      </c>
      <c r="D29" s="9" t="s">
        <v>25</v>
      </c>
      <c r="E29" s="9">
        <v>13</v>
      </c>
      <c r="F29" s="37">
        <v>655</v>
      </c>
      <c r="G29" s="9" t="s">
        <v>34</v>
      </c>
      <c r="H29" s="9" t="s">
        <v>280</v>
      </c>
      <c r="I29" s="23">
        <v>0</v>
      </c>
      <c r="J29" s="9" t="s">
        <v>41</v>
      </c>
      <c r="K29" s="9">
        <v>7309.77</v>
      </c>
      <c r="L29" s="9" t="s">
        <v>44</v>
      </c>
      <c r="M29" s="9" t="s">
        <v>49</v>
      </c>
      <c r="N29" s="9">
        <v>0</v>
      </c>
      <c r="O29" s="9" t="s">
        <v>76</v>
      </c>
      <c r="P29" s="9" t="s">
        <v>173</v>
      </c>
      <c r="Q29" s="36">
        <v>280</v>
      </c>
      <c r="R29" s="43">
        <v>45222</v>
      </c>
      <c r="S29" s="8">
        <v>45227</v>
      </c>
      <c r="T29" s="9" t="s">
        <v>245</v>
      </c>
      <c r="U29" s="8" t="s">
        <v>274</v>
      </c>
    </row>
    <row r="30" spans="1:21" hidden="1">
      <c r="A30" s="7">
        <v>27</v>
      </c>
      <c r="B30" s="35">
        <v>44954</v>
      </c>
      <c r="C30" s="9" t="s">
        <v>23</v>
      </c>
      <c r="D30" s="33" t="s">
        <v>25</v>
      </c>
      <c r="E30" s="9">
        <v>1</v>
      </c>
      <c r="F30" s="37">
        <v>286</v>
      </c>
      <c r="G30" s="9" t="s">
        <v>34</v>
      </c>
      <c r="H30" s="9" t="s">
        <v>281</v>
      </c>
      <c r="I30" s="23">
        <v>0</v>
      </c>
      <c r="J30" s="9" t="s">
        <v>39</v>
      </c>
      <c r="K30" s="33">
        <v>101.73</v>
      </c>
      <c r="L30" s="9" t="s">
        <v>46</v>
      </c>
      <c r="M30" s="9" t="s">
        <v>50</v>
      </c>
      <c r="N30" s="9">
        <v>0</v>
      </c>
      <c r="O30" s="9" t="s">
        <v>77</v>
      </c>
      <c r="P30" s="9" t="s">
        <v>174</v>
      </c>
      <c r="Q30" s="36">
        <v>434</v>
      </c>
      <c r="R30" s="43">
        <v>45824</v>
      </c>
      <c r="S30" s="8">
        <v>45833</v>
      </c>
      <c r="T30" s="9" t="s">
        <v>249</v>
      </c>
      <c r="U30" s="8" t="s">
        <v>276</v>
      </c>
    </row>
    <row r="31" spans="1:21" hidden="1">
      <c r="A31" s="7">
        <v>28</v>
      </c>
      <c r="B31" s="35">
        <v>44955</v>
      </c>
      <c r="C31" s="9" t="s">
        <v>21</v>
      </c>
      <c r="D31" s="9" t="s">
        <v>25</v>
      </c>
      <c r="E31" s="9">
        <v>4</v>
      </c>
      <c r="F31" s="37">
        <v>871</v>
      </c>
      <c r="G31" s="9" t="s">
        <v>31</v>
      </c>
      <c r="H31" s="9" t="s">
        <v>282</v>
      </c>
      <c r="I31" s="34">
        <v>0</v>
      </c>
      <c r="J31" s="33" t="s">
        <v>41</v>
      </c>
      <c r="K31" s="9">
        <v>1117.96</v>
      </c>
      <c r="L31" s="9" t="s">
        <v>45</v>
      </c>
      <c r="M31" s="9" t="s">
        <v>48</v>
      </c>
      <c r="N31" s="9">
        <v>0</v>
      </c>
      <c r="O31" s="9" t="s">
        <v>78</v>
      </c>
      <c r="P31" s="9" t="s">
        <v>175</v>
      </c>
      <c r="Q31" s="36">
        <v>208</v>
      </c>
      <c r="R31" s="43">
        <v>44988</v>
      </c>
      <c r="S31" s="8">
        <v>44993</v>
      </c>
      <c r="T31" s="9" t="s">
        <v>247</v>
      </c>
      <c r="U31" s="8" t="s">
        <v>277</v>
      </c>
    </row>
    <row r="32" spans="1:21" hidden="1">
      <c r="A32" s="7">
        <v>29</v>
      </c>
      <c r="B32" s="35">
        <v>44956</v>
      </c>
      <c r="C32" s="9" t="s">
        <v>20</v>
      </c>
      <c r="D32" s="9" t="s">
        <v>24</v>
      </c>
      <c r="E32" s="9">
        <v>1</v>
      </c>
      <c r="F32" s="37">
        <v>230</v>
      </c>
      <c r="G32" s="9" t="s">
        <v>32</v>
      </c>
      <c r="H32" s="9" t="s">
        <v>282</v>
      </c>
      <c r="I32" s="23">
        <v>0.15</v>
      </c>
      <c r="J32" s="9" t="s">
        <v>40</v>
      </c>
      <c r="K32" s="9">
        <v>151.76750000000001</v>
      </c>
      <c r="L32" s="9" t="s">
        <v>46</v>
      </c>
      <c r="M32" s="9" t="s">
        <v>49</v>
      </c>
      <c r="N32" s="9">
        <v>1</v>
      </c>
      <c r="O32" s="9" t="s">
        <v>79</v>
      </c>
      <c r="P32" s="9" t="s">
        <v>176</v>
      </c>
      <c r="Q32" s="36">
        <v>227</v>
      </c>
      <c r="R32" s="43">
        <v>45614</v>
      </c>
      <c r="S32" s="8">
        <v>45617</v>
      </c>
      <c r="T32" s="9" t="s">
        <v>246</v>
      </c>
      <c r="U32" s="8" t="s">
        <v>278</v>
      </c>
    </row>
    <row r="33" spans="1:21">
      <c r="A33" s="7">
        <v>30</v>
      </c>
      <c r="B33" s="35">
        <v>44957</v>
      </c>
      <c r="C33" s="9" t="s">
        <v>22</v>
      </c>
      <c r="D33" s="33" t="s">
        <v>29</v>
      </c>
      <c r="E33" s="9">
        <v>1</v>
      </c>
      <c r="F33" s="37">
        <v>651</v>
      </c>
      <c r="G33" s="9" t="s">
        <v>32</v>
      </c>
      <c r="H33" s="9" t="s">
        <v>280</v>
      </c>
      <c r="I33" s="23">
        <v>0.1</v>
      </c>
      <c r="J33" s="9" t="s">
        <v>40</v>
      </c>
      <c r="K33" s="9"/>
      <c r="L33" s="9" t="s">
        <v>43</v>
      </c>
      <c r="M33" s="9" t="s">
        <v>48</v>
      </c>
      <c r="N33" s="9">
        <v>0</v>
      </c>
      <c r="O33" s="9" t="s">
        <v>80</v>
      </c>
      <c r="P33" s="9" t="s">
        <v>177</v>
      </c>
      <c r="Q33" s="36">
        <v>34456</v>
      </c>
      <c r="R33" s="43">
        <v>45055</v>
      </c>
      <c r="S33" s="8">
        <v>45063</v>
      </c>
      <c r="T33" s="9" t="s">
        <v>248</v>
      </c>
      <c r="U33" s="8" t="s">
        <v>279</v>
      </c>
    </row>
    <row r="34" spans="1:21" hidden="1">
      <c r="A34" s="7">
        <v>31</v>
      </c>
      <c r="B34" s="35">
        <v>44958</v>
      </c>
      <c r="C34" s="9" t="s">
        <v>21</v>
      </c>
      <c r="D34" s="9" t="s">
        <v>29</v>
      </c>
      <c r="E34" s="9">
        <v>12</v>
      </c>
      <c r="F34" s="37">
        <v>602</v>
      </c>
      <c r="G34" s="9" t="s">
        <v>34</v>
      </c>
      <c r="H34" s="9" t="s">
        <v>281</v>
      </c>
      <c r="I34" s="23">
        <v>0</v>
      </c>
      <c r="J34" s="9" t="s">
        <v>39</v>
      </c>
      <c r="K34" s="9">
        <v>3675.48</v>
      </c>
      <c r="L34" s="9" t="s">
        <v>46</v>
      </c>
      <c r="M34" s="9" t="s">
        <v>49</v>
      </c>
      <c r="N34" s="9">
        <v>0</v>
      </c>
      <c r="O34" s="9" t="s">
        <v>81</v>
      </c>
      <c r="P34" s="9" t="s">
        <v>178</v>
      </c>
      <c r="Q34" s="36">
        <v>405</v>
      </c>
      <c r="R34" s="43">
        <v>45633</v>
      </c>
      <c r="S34" s="8">
        <v>45640</v>
      </c>
      <c r="T34" s="9" t="s">
        <v>247</v>
      </c>
      <c r="U34" s="8" t="s">
        <v>274</v>
      </c>
    </row>
    <row r="35" spans="1:21" hidden="1">
      <c r="A35" s="7">
        <v>32</v>
      </c>
      <c r="B35" s="35">
        <v>44959</v>
      </c>
      <c r="C35" s="9" t="s">
        <v>21</v>
      </c>
      <c r="D35" s="9" t="s">
        <v>25</v>
      </c>
      <c r="E35" s="9">
        <v>7</v>
      </c>
      <c r="F35" s="37">
        <v>551</v>
      </c>
      <c r="G35" s="9" t="s">
        <v>33</v>
      </c>
      <c r="H35" s="9" t="s">
        <v>282</v>
      </c>
      <c r="I35" s="23">
        <v>0.15</v>
      </c>
      <c r="J35" s="9" t="s">
        <v>39</v>
      </c>
      <c r="K35" s="9">
        <v>2586.8815</v>
      </c>
      <c r="L35" s="9" t="s">
        <v>43</v>
      </c>
      <c r="M35" s="9" t="s">
        <v>49</v>
      </c>
      <c r="N35" s="9">
        <v>0</v>
      </c>
      <c r="O35" s="9" t="s">
        <v>82</v>
      </c>
      <c r="P35" s="9" t="s">
        <v>179</v>
      </c>
      <c r="Q35" s="36">
        <v>310</v>
      </c>
      <c r="R35" s="43">
        <v>45335</v>
      </c>
      <c r="S35" s="8">
        <v>45337</v>
      </c>
      <c r="T35" s="9" t="s">
        <v>247</v>
      </c>
      <c r="U35" s="8" t="s">
        <v>276</v>
      </c>
    </row>
    <row r="36" spans="1:21" hidden="1">
      <c r="A36" s="7">
        <v>33</v>
      </c>
      <c r="B36" s="35">
        <v>44960</v>
      </c>
      <c r="C36" s="9" t="s">
        <v>20</v>
      </c>
      <c r="D36" s="33" t="s">
        <v>26</v>
      </c>
      <c r="E36" s="9">
        <v>6</v>
      </c>
      <c r="F36" s="37">
        <v>859</v>
      </c>
      <c r="G36" s="9" t="s">
        <v>33</v>
      </c>
      <c r="H36" s="9" t="s">
        <v>282</v>
      </c>
      <c r="I36" s="23">
        <v>0</v>
      </c>
      <c r="J36" s="9" t="s">
        <v>40</v>
      </c>
      <c r="K36" s="9">
        <v>389.88</v>
      </c>
      <c r="L36" s="9" t="s">
        <v>46</v>
      </c>
      <c r="M36" s="9" t="s">
        <v>50</v>
      </c>
      <c r="N36" s="9">
        <v>0</v>
      </c>
      <c r="O36" s="9" t="s">
        <v>83</v>
      </c>
      <c r="P36" s="9" t="s">
        <v>180</v>
      </c>
      <c r="Q36" s="36">
        <v>308</v>
      </c>
      <c r="R36" s="43">
        <v>45725</v>
      </c>
      <c r="S36" s="8">
        <v>45731</v>
      </c>
      <c r="T36" s="9" t="s">
        <v>246</v>
      </c>
      <c r="U36" s="8" t="s">
        <v>277</v>
      </c>
    </row>
    <row r="37" spans="1:21">
      <c r="A37" s="7">
        <v>34</v>
      </c>
      <c r="B37" s="35">
        <v>44961</v>
      </c>
      <c r="C37" s="9" t="s">
        <v>22</v>
      </c>
      <c r="D37" s="9" t="s">
        <v>26</v>
      </c>
      <c r="E37" s="9">
        <v>17</v>
      </c>
      <c r="F37" s="37">
        <v>386</v>
      </c>
      <c r="G37" s="9" t="s">
        <v>34</v>
      </c>
      <c r="H37" s="9" t="s">
        <v>280</v>
      </c>
      <c r="I37" s="23">
        <v>0</v>
      </c>
      <c r="J37" s="9" t="s">
        <v>38</v>
      </c>
      <c r="K37" s="9"/>
      <c r="L37" s="9" t="s">
        <v>44</v>
      </c>
      <c r="M37" s="9"/>
      <c r="N37" s="9">
        <v>0</v>
      </c>
      <c r="O37" s="9" t="s">
        <v>84</v>
      </c>
      <c r="P37" s="9" t="s">
        <v>181</v>
      </c>
      <c r="Q37" s="36">
        <v>62233</v>
      </c>
      <c r="R37" s="43">
        <v>45021</v>
      </c>
      <c r="S37" s="8">
        <v>45027</v>
      </c>
      <c r="T37" s="9" t="s">
        <v>248</v>
      </c>
      <c r="U37" s="8" t="s">
        <v>278</v>
      </c>
    </row>
    <row r="38" spans="1:21" hidden="1">
      <c r="A38" s="7">
        <v>35</v>
      </c>
      <c r="B38" s="35">
        <v>44962</v>
      </c>
      <c r="C38" s="9" t="s">
        <v>21</v>
      </c>
      <c r="D38" s="9" t="s">
        <v>28</v>
      </c>
      <c r="E38" s="33">
        <v>4</v>
      </c>
      <c r="F38" s="37">
        <v>208</v>
      </c>
      <c r="G38" s="9" t="s">
        <v>34</v>
      </c>
      <c r="H38" s="9" t="s">
        <v>281</v>
      </c>
      <c r="I38" s="23">
        <v>0.15</v>
      </c>
      <c r="J38" s="9" t="s">
        <v>41</v>
      </c>
      <c r="K38" s="9">
        <v>1903.048</v>
      </c>
      <c r="L38" s="9" t="s">
        <v>43</v>
      </c>
      <c r="M38" s="9" t="s">
        <v>49</v>
      </c>
      <c r="N38" s="9">
        <v>0</v>
      </c>
      <c r="O38" s="9" t="s">
        <v>85</v>
      </c>
      <c r="P38" s="9" t="s">
        <v>182</v>
      </c>
      <c r="Q38" s="36">
        <v>108</v>
      </c>
      <c r="R38" s="43">
        <v>45785</v>
      </c>
      <c r="S38" s="8">
        <v>45789</v>
      </c>
      <c r="T38" s="9" t="s">
        <v>247</v>
      </c>
      <c r="U38" s="8" t="s">
        <v>279</v>
      </c>
    </row>
    <row r="39" spans="1:21" hidden="1">
      <c r="A39" s="7">
        <v>36</v>
      </c>
      <c r="B39" s="35">
        <v>44963</v>
      </c>
      <c r="C39" s="9" t="s">
        <v>21</v>
      </c>
      <c r="D39" s="9" t="s">
        <v>29</v>
      </c>
      <c r="E39" s="9">
        <v>14</v>
      </c>
      <c r="F39" s="37">
        <v>883</v>
      </c>
      <c r="G39" s="9" t="s">
        <v>33</v>
      </c>
      <c r="H39" s="9" t="s">
        <v>282</v>
      </c>
      <c r="I39" s="23">
        <v>0</v>
      </c>
      <c r="J39" s="9" t="s">
        <v>38</v>
      </c>
      <c r="K39" s="9">
        <v>1149.96</v>
      </c>
      <c r="L39" s="9" t="s">
        <v>45</v>
      </c>
      <c r="M39" s="9"/>
      <c r="N39" s="9">
        <v>0</v>
      </c>
      <c r="O39" s="9" t="s">
        <v>86</v>
      </c>
      <c r="P39" s="9" t="s">
        <v>183</v>
      </c>
      <c r="Q39" s="36">
        <v>463</v>
      </c>
      <c r="R39" s="43">
        <v>45172</v>
      </c>
      <c r="S39" s="8">
        <v>45180</v>
      </c>
      <c r="T39" s="9" t="s">
        <v>247</v>
      </c>
      <c r="U39" s="8" t="s">
        <v>274</v>
      </c>
    </row>
    <row r="40" spans="1:21">
      <c r="A40" s="7">
        <v>37</v>
      </c>
      <c r="B40" s="35">
        <v>44964</v>
      </c>
      <c r="C40" s="9" t="s">
        <v>22</v>
      </c>
      <c r="D40" s="33" t="s">
        <v>27</v>
      </c>
      <c r="E40" s="9">
        <v>9</v>
      </c>
      <c r="F40" s="37">
        <v>918</v>
      </c>
      <c r="G40" s="9" t="s">
        <v>32</v>
      </c>
      <c r="H40" s="9" t="s">
        <v>282</v>
      </c>
      <c r="I40" s="23">
        <v>0.05</v>
      </c>
      <c r="J40" s="9" t="s">
        <v>40</v>
      </c>
      <c r="K40" s="9"/>
      <c r="L40" s="9" t="s">
        <v>46</v>
      </c>
      <c r="M40" s="9" t="s">
        <v>48</v>
      </c>
      <c r="N40" s="9">
        <v>0</v>
      </c>
      <c r="O40" s="9" t="s">
        <v>87</v>
      </c>
      <c r="P40" s="9" t="s">
        <v>184</v>
      </c>
      <c r="Q40" s="36">
        <v>210</v>
      </c>
      <c r="R40" s="43">
        <v>45737</v>
      </c>
      <c r="S40" s="8">
        <v>45744</v>
      </c>
      <c r="T40" s="9" t="s">
        <v>248</v>
      </c>
      <c r="U40" s="8" t="s">
        <v>276</v>
      </c>
    </row>
    <row r="41" spans="1:21" hidden="1">
      <c r="A41" s="7">
        <v>38</v>
      </c>
      <c r="B41" s="35">
        <v>44965</v>
      </c>
      <c r="C41" s="9" t="s">
        <v>20</v>
      </c>
      <c r="D41" s="9" t="s">
        <v>27</v>
      </c>
      <c r="E41" s="9">
        <v>7</v>
      </c>
      <c r="F41" s="37">
        <v>783</v>
      </c>
      <c r="G41" s="9" t="s">
        <v>31</v>
      </c>
      <c r="H41" s="9" t="s">
        <v>280</v>
      </c>
      <c r="I41" s="23">
        <v>0.15</v>
      </c>
      <c r="J41" s="9" t="s">
        <v>41</v>
      </c>
      <c r="K41" s="9">
        <v>1791.0094999999999</v>
      </c>
      <c r="L41" s="9" t="s">
        <v>47</v>
      </c>
      <c r="M41" s="9" t="s">
        <v>49</v>
      </c>
      <c r="N41" s="9">
        <v>1</v>
      </c>
      <c r="O41" s="9" t="s">
        <v>88</v>
      </c>
      <c r="P41" s="9" t="s">
        <v>185</v>
      </c>
      <c r="Q41" s="36">
        <v>250</v>
      </c>
      <c r="R41" s="43">
        <v>45828</v>
      </c>
      <c r="S41" s="8">
        <v>45838</v>
      </c>
      <c r="T41" s="9" t="s">
        <v>246</v>
      </c>
      <c r="U41" s="8" t="s">
        <v>277</v>
      </c>
    </row>
    <row r="42" spans="1:21">
      <c r="A42" s="7">
        <v>39</v>
      </c>
      <c r="B42" s="35">
        <v>44966</v>
      </c>
      <c r="C42" s="9" t="s">
        <v>22</v>
      </c>
      <c r="D42" s="9" t="s">
        <v>30</v>
      </c>
      <c r="E42" s="9">
        <v>14</v>
      </c>
      <c r="F42" s="37">
        <v>445</v>
      </c>
      <c r="G42" s="9" t="s">
        <v>33</v>
      </c>
      <c r="H42" s="9" t="s">
        <v>281</v>
      </c>
      <c r="I42" s="23">
        <v>0.1</v>
      </c>
      <c r="J42" s="9" t="s">
        <v>42</v>
      </c>
      <c r="K42" s="9"/>
      <c r="L42" s="9" t="s">
        <v>47</v>
      </c>
      <c r="M42" s="9"/>
      <c r="N42" s="9">
        <v>1</v>
      </c>
      <c r="O42" s="9" t="s">
        <v>89</v>
      </c>
      <c r="P42" s="9" t="s">
        <v>186</v>
      </c>
      <c r="Q42" s="36">
        <v>486</v>
      </c>
      <c r="R42" s="43">
        <v>45337</v>
      </c>
      <c r="S42" s="8">
        <v>45347</v>
      </c>
      <c r="T42" s="9" t="s">
        <v>248</v>
      </c>
      <c r="U42" s="8" t="s">
        <v>278</v>
      </c>
    </row>
    <row r="43" spans="1:21">
      <c r="A43" s="7">
        <v>40</v>
      </c>
      <c r="B43" s="35">
        <v>44967</v>
      </c>
      <c r="C43" s="9" t="s">
        <v>22</v>
      </c>
      <c r="D43" s="9" t="s">
        <v>24</v>
      </c>
      <c r="E43" s="9">
        <v>2</v>
      </c>
      <c r="F43" s="37">
        <v>967</v>
      </c>
      <c r="G43" s="9" t="s">
        <v>34</v>
      </c>
      <c r="H43" s="9" t="s">
        <v>282</v>
      </c>
      <c r="I43" s="23">
        <v>0.15</v>
      </c>
      <c r="J43" s="9" t="s">
        <v>38</v>
      </c>
      <c r="K43" s="9"/>
      <c r="L43" s="9" t="s">
        <v>44</v>
      </c>
      <c r="M43" s="9"/>
      <c r="N43" s="9">
        <v>0</v>
      </c>
      <c r="O43" s="9" t="s">
        <v>90</v>
      </c>
      <c r="P43" s="9" t="s">
        <v>187</v>
      </c>
      <c r="Q43" s="36">
        <v>301</v>
      </c>
      <c r="R43" s="43">
        <v>45086</v>
      </c>
      <c r="S43" s="8">
        <v>45094</v>
      </c>
      <c r="T43" s="9" t="s">
        <v>248</v>
      </c>
      <c r="U43" s="8" t="s">
        <v>279</v>
      </c>
    </row>
    <row r="44" spans="1:21" hidden="1">
      <c r="A44" s="7">
        <v>41</v>
      </c>
      <c r="B44" s="35">
        <v>44968</v>
      </c>
      <c r="C44" s="9" t="s">
        <v>20</v>
      </c>
      <c r="D44" s="9" t="s">
        <v>30</v>
      </c>
      <c r="E44" s="9">
        <v>5</v>
      </c>
      <c r="F44" s="37">
        <v>359</v>
      </c>
      <c r="G44" s="9" t="s">
        <v>32</v>
      </c>
      <c r="H44" s="9" t="s">
        <v>282</v>
      </c>
      <c r="I44" s="23">
        <v>0.1</v>
      </c>
      <c r="J44" s="9" t="s">
        <v>37</v>
      </c>
      <c r="K44" s="9">
        <v>2116.44</v>
      </c>
      <c r="L44" s="9" t="s">
        <v>46</v>
      </c>
      <c r="M44" s="9" t="s">
        <v>49</v>
      </c>
      <c r="N44" s="9">
        <v>0</v>
      </c>
      <c r="O44" s="9" t="s">
        <v>91</v>
      </c>
      <c r="P44" s="9" t="s">
        <v>188</v>
      </c>
      <c r="Q44" s="36">
        <v>190</v>
      </c>
      <c r="R44" s="43">
        <v>45148</v>
      </c>
      <c r="S44" s="8">
        <v>45152</v>
      </c>
      <c r="T44" s="9" t="s">
        <v>246</v>
      </c>
      <c r="U44" s="8" t="s">
        <v>274</v>
      </c>
    </row>
    <row r="45" spans="1:21">
      <c r="A45" s="7">
        <v>42</v>
      </c>
      <c r="B45" s="35">
        <v>44969</v>
      </c>
      <c r="C45" s="9" t="s">
        <v>22</v>
      </c>
      <c r="D45" s="9" t="s">
        <v>30</v>
      </c>
      <c r="E45" s="9">
        <v>20</v>
      </c>
      <c r="F45" s="37">
        <v>461</v>
      </c>
      <c r="G45" s="9" t="s">
        <v>33</v>
      </c>
      <c r="H45" s="9" t="s">
        <v>280</v>
      </c>
      <c r="I45" s="23">
        <v>0.05</v>
      </c>
      <c r="J45" s="9" t="s">
        <v>37</v>
      </c>
      <c r="K45" s="9"/>
      <c r="L45" s="9" t="s">
        <v>44</v>
      </c>
      <c r="M45" s="9" t="s">
        <v>48</v>
      </c>
      <c r="N45" s="9">
        <v>0</v>
      </c>
      <c r="O45" s="9" t="s">
        <v>92</v>
      </c>
      <c r="P45" s="9" t="s">
        <v>189</v>
      </c>
      <c r="Q45" s="36">
        <v>309</v>
      </c>
      <c r="R45" s="43">
        <v>45459</v>
      </c>
      <c r="S45" s="8">
        <v>45468</v>
      </c>
      <c r="T45" s="9" t="s">
        <v>248</v>
      </c>
      <c r="U45" s="8" t="s">
        <v>276</v>
      </c>
    </row>
    <row r="46" spans="1:21" hidden="1">
      <c r="A46" s="7">
        <v>43</v>
      </c>
      <c r="B46" s="35">
        <v>44970</v>
      </c>
      <c r="C46" s="9" t="s">
        <v>20</v>
      </c>
      <c r="D46" s="9" t="s">
        <v>24</v>
      </c>
      <c r="E46" s="9">
        <v>12</v>
      </c>
      <c r="F46" s="37">
        <v>561</v>
      </c>
      <c r="G46" s="9" t="s">
        <v>32</v>
      </c>
      <c r="H46" s="9" t="s">
        <v>281</v>
      </c>
      <c r="I46" s="23">
        <v>0</v>
      </c>
      <c r="J46" s="9" t="s">
        <v>37</v>
      </c>
      <c r="K46" s="9">
        <v>434.04</v>
      </c>
      <c r="L46" s="9" t="s">
        <v>43</v>
      </c>
      <c r="M46" s="9" t="s">
        <v>50</v>
      </c>
      <c r="N46" s="9">
        <v>0</v>
      </c>
      <c r="O46" s="9" t="s">
        <v>93</v>
      </c>
      <c r="P46" s="9" t="s">
        <v>190</v>
      </c>
      <c r="Q46" s="36">
        <v>211</v>
      </c>
      <c r="R46" s="43">
        <v>45130</v>
      </c>
      <c r="S46" s="8">
        <v>45133</v>
      </c>
      <c r="T46" s="9" t="s">
        <v>246</v>
      </c>
      <c r="U46" s="8" t="s">
        <v>277</v>
      </c>
    </row>
    <row r="47" spans="1:21">
      <c r="A47" s="7">
        <v>44</v>
      </c>
      <c r="B47" s="35">
        <v>44971</v>
      </c>
      <c r="C47" s="9" t="s">
        <v>22</v>
      </c>
      <c r="D47" s="9" t="s">
        <v>30</v>
      </c>
      <c r="E47" s="9">
        <v>4</v>
      </c>
      <c r="F47" s="37">
        <v>916</v>
      </c>
      <c r="G47" s="9" t="s">
        <v>34</v>
      </c>
      <c r="H47" s="9" t="s">
        <v>282</v>
      </c>
      <c r="I47" s="23">
        <v>0.15</v>
      </c>
      <c r="J47" s="9" t="s">
        <v>40</v>
      </c>
      <c r="K47" s="9"/>
      <c r="L47" s="9" t="s">
        <v>44</v>
      </c>
      <c r="M47" s="9" t="s">
        <v>50</v>
      </c>
      <c r="N47" s="9">
        <v>1</v>
      </c>
      <c r="O47" s="9" t="s">
        <v>94</v>
      </c>
      <c r="P47" s="9" t="s">
        <v>191</v>
      </c>
      <c r="Q47" s="36">
        <v>489</v>
      </c>
      <c r="R47" s="43">
        <v>45066</v>
      </c>
      <c r="S47" s="8">
        <v>45073</v>
      </c>
      <c r="T47" s="9" t="s">
        <v>248</v>
      </c>
      <c r="U47" s="8" t="s">
        <v>278</v>
      </c>
    </row>
    <row r="48" spans="1:21" hidden="1">
      <c r="A48" s="7">
        <v>45</v>
      </c>
      <c r="B48" s="35">
        <v>44972</v>
      </c>
      <c r="C48" s="9" t="s">
        <v>20</v>
      </c>
      <c r="D48" s="9" t="s">
        <v>24</v>
      </c>
      <c r="E48" s="9">
        <v>2</v>
      </c>
      <c r="F48" s="37">
        <v>941</v>
      </c>
      <c r="G48" s="9" t="s">
        <v>34</v>
      </c>
      <c r="H48" s="9" t="s">
        <v>282</v>
      </c>
      <c r="I48" s="23">
        <v>0.05</v>
      </c>
      <c r="J48" s="9" t="s">
        <v>37</v>
      </c>
      <c r="K48" s="9">
        <v>790.51400000000001</v>
      </c>
      <c r="L48" s="9" t="s">
        <v>46</v>
      </c>
      <c r="M48" s="9" t="s">
        <v>49</v>
      </c>
      <c r="N48" s="9">
        <v>0</v>
      </c>
      <c r="O48" s="9" t="s">
        <v>95</v>
      </c>
      <c r="P48" s="9" t="s">
        <v>192</v>
      </c>
      <c r="Q48" s="36">
        <v>390</v>
      </c>
      <c r="R48" s="43">
        <v>45107</v>
      </c>
      <c r="S48" s="8">
        <v>45111</v>
      </c>
      <c r="T48" s="9" t="s">
        <v>246</v>
      </c>
      <c r="U48" s="8" t="s">
        <v>279</v>
      </c>
    </row>
    <row r="49" spans="1:21" hidden="1">
      <c r="A49" s="7">
        <v>46</v>
      </c>
      <c r="B49" s="35">
        <v>44973</v>
      </c>
      <c r="C49" s="9" t="s">
        <v>20</v>
      </c>
      <c r="D49" s="9" t="s">
        <v>29</v>
      </c>
      <c r="E49" s="9">
        <v>16</v>
      </c>
      <c r="F49" s="37">
        <v>735</v>
      </c>
      <c r="G49" s="9" t="s">
        <v>34</v>
      </c>
      <c r="H49" s="9" t="s">
        <v>280</v>
      </c>
      <c r="I49" s="23">
        <v>0</v>
      </c>
      <c r="J49" s="9" t="s">
        <v>38</v>
      </c>
      <c r="K49" s="9">
        <v>4841.28</v>
      </c>
      <c r="L49" s="9" t="s">
        <v>43</v>
      </c>
      <c r="M49" s="9" t="s">
        <v>50</v>
      </c>
      <c r="N49" s="9">
        <v>1</v>
      </c>
      <c r="O49" s="9" t="s">
        <v>96</v>
      </c>
      <c r="P49" s="9" t="s">
        <v>193</v>
      </c>
      <c r="Q49" s="36">
        <v>297</v>
      </c>
      <c r="R49" s="43">
        <v>45447</v>
      </c>
      <c r="S49" s="8">
        <v>45457</v>
      </c>
      <c r="T49" s="9" t="s">
        <v>246</v>
      </c>
      <c r="U49" s="8" t="s">
        <v>274</v>
      </c>
    </row>
    <row r="50" spans="1:21" hidden="1">
      <c r="A50" s="7">
        <v>47</v>
      </c>
      <c r="B50" s="35">
        <v>44974</v>
      </c>
      <c r="C50" s="9" t="s">
        <v>23</v>
      </c>
      <c r="D50" s="9" t="s">
        <v>27</v>
      </c>
      <c r="E50" s="9">
        <v>11</v>
      </c>
      <c r="F50" s="37">
        <v>922</v>
      </c>
      <c r="G50" s="9" t="s">
        <v>32</v>
      </c>
      <c r="H50" s="9" t="s">
        <v>281</v>
      </c>
      <c r="I50" s="23">
        <v>0.15</v>
      </c>
      <c r="J50" s="9" t="s">
        <v>39</v>
      </c>
      <c r="K50" s="9">
        <v>309.76549999999997</v>
      </c>
      <c r="L50" s="9" t="s">
        <v>43</v>
      </c>
      <c r="M50" s="9" t="s">
        <v>48</v>
      </c>
      <c r="N50" s="9">
        <v>0</v>
      </c>
      <c r="O50" s="9" t="s">
        <v>97</v>
      </c>
      <c r="P50" s="9" t="s">
        <v>194</v>
      </c>
      <c r="Q50" s="36">
        <v>224</v>
      </c>
      <c r="R50" s="43">
        <v>45691</v>
      </c>
      <c r="S50" s="8">
        <v>45693</v>
      </c>
      <c r="T50" s="9" t="s">
        <v>249</v>
      </c>
      <c r="U50" s="8" t="s">
        <v>276</v>
      </c>
    </row>
    <row r="51" spans="1:21" hidden="1">
      <c r="A51" s="7">
        <v>48</v>
      </c>
      <c r="B51" s="35">
        <v>44975</v>
      </c>
      <c r="C51" s="9" t="s">
        <v>19</v>
      </c>
      <c r="D51" s="33" t="s">
        <v>29</v>
      </c>
      <c r="E51" s="9">
        <v>8</v>
      </c>
      <c r="F51" s="37">
        <v>909</v>
      </c>
      <c r="G51" s="9" t="s">
        <v>34</v>
      </c>
      <c r="H51" s="9" t="s">
        <v>282</v>
      </c>
      <c r="I51" s="23">
        <v>0.15</v>
      </c>
      <c r="J51" s="9" t="s">
        <v>39</v>
      </c>
      <c r="K51" s="9">
        <v>3961.136</v>
      </c>
      <c r="L51" s="9" t="s">
        <v>44</v>
      </c>
      <c r="M51" s="9" t="s">
        <v>50</v>
      </c>
      <c r="N51" s="9">
        <v>0</v>
      </c>
      <c r="O51" s="9" t="s">
        <v>98</v>
      </c>
      <c r="P51" s="9" t="s">
        <v>195</v>
      </c>
      <c r="Q51" s="36">
        <v>410</v>
      </c>
      <c r="R51" s="43">
        <v>45300</v>
      </c>
      <c r="S51" s="8">
        <v>45304</v>
      </c>
      <c r="T51" s="9" t="s">
        <v>245</v>
      </c>
      <c r="U51" s="8" t="s">
        <v>277</v>
      </c>
    </row>
    <row r="52" spans="1:21" hidden="1">
      <c r="A52" s="7">
        <v>49</v>
      </c>
      <c r="B52" s="35">
        <v>44976</v>
      </c>
      <c r="C52" s="9" t="s">
        <v>21</v>
      </c>
      <c r="D52" s="9" t="s">
        <v>26</v>
      </c>
      <c r="E52" s="9">
        <v>5</v>
      </c>
      <c r="F52" s="37">
        <v>597</v>
      </c>
      <c r="G52" s="9" t="s">
        <v>32</v>
      </c>
      <c r="H52" s="9" t="s">
        <v>282</v>
      </c>
      <c r="I52" s="23">
        <v>0.1</v>
      </c>
      <c r="J52" s="9" t="s">
        <v>37</v>
      </c>
      <c r="K52" s="9">
        <v>743.17500000000007</v>
      </c>
      <c r="L52" s="9" t="s">
        <v>44</v>
      </c>
      <c r="M52" s="9"/>
      <c r="N52" s="9">
        <v>0</v>
      </c>
      <c r="O52" s="9" t="s">
        <v>99</v>
      </c>
      <c r="P52" s="9" t="s">
        <v>196</v>
      </c>
      <c r="Q52" s="36">
        <v>450</v>
      </c>
      <c r="R52" s="43">
        <v>45365</v>
      </c>
      <c r="S52" s="8">
        <v>45367</v>
      </c>
      <c r="T52" s="9" t="s">
        <v>247</v>
      </c>
      <c r="U52" s="8" t="s">
        <v>278</v>
      </c>
    </row>
    <row r="53" spans="1:21" hidden="1">
      <c r="A53" s="7">
        <v>50</v>
      </c>
      <c r="B53" s="35">
        <v>44977</v>
      </c>
      <c r="C53" s="9" t="s">
        <v>23</v>
      </c>
      <c r="D53" s="9" t="s">
        <v>28</v>
      </c>
      <c r="E53" s="9">
        <v>14</v>
      </c>
      <c r="F53" s="37">
        <v>472</v>
      </c>
      <c r="G53" s="9" t="s">
        <v>34</v>
      </c>
      <c r="H53" s="9" t="s">
        <v>280</v>
      </c>
      <c r="I53" s="23">
        <v>0.15</v>
      </c>
      <c r="J53" s="9" t="s">
        <v>38</v>
      </c>
      <c r="K53" s="9">
        <v>2889.558</v>
      </c>
      <c r="L53" s="9" t="s">
        <v>47</v>
      </c>
      <c r="M53" s="9" t="s">
        <v>50</v>
      </c>
      <c r="N53" s="9">
        <v>1</v>
      </c>
      <c r="O53" s="9" t="s">
        <v>100</v>
      </c>
      <c r="P53" s="9" t="s">
        <v>197</v>
      </c>
      <c r="Q53" s="36">
        <v>289</v>
      </c>
      <c r="R53" s="43">
        <v>45541</v>
      </c>
      <c r="S53" s="8">
        <v>45548</v>
      </c>
      <c r="T53" s="9" t="s">
        <v>249</v>
      </c>
      <c r="U53" s="8" t="s">
        <v>279</v>
      </c>
    </row>
    <row r="54" spans="1:21" hidden="1">
      <c r="A54" s="7">
        <v>51</v>
      </c>
      <c r="B54" s="35">
        <v>44978</v>
      </c>
      <c r="C54" s="9" t="s">
        <v>19</v>
      </c>
      <c r="D54" s="33" t="s">
        <v>28</v>
      </c>
      <c r="E54" s="9">
        <v>13</v>
      </c>
      <c r="F54" s="37">
        <v>997</v>
      </c>
      <c r="G54" s="9" t="s">
        <v>32</v>
      </c>
      <c r="H54" s="9" t="s">
        <v>281</v>
      </c>
      <c r="I54" s="23">
        <v>0.1</v>
      </c>
      <c r="J54" s="9" t="s">
        <v>39</v>
      </c>
      <c r="K54" s="9">
        <v>772.08299999999997</v>
      </c>
      <c r="L54" s="9" t="s">
        <v>47</v>
      </c>
      <c r="M54" s="9" t="s">
        <v>50</v>
      </c>
      <c r="N54" s="9">
        <v>0</v>
      </c>
      <c r="O54" s="9" t="s">
        <v>101</v>
      </c>
      <c r="P54" s="9" t="s">
        <v>198</v>
      </c>
      <c r="Q54" s="36">
        <v>184</v>
      </c>
      <c r="R54" s="43">
        <v>45002</v>
      </c>
      <c r="S54" s="8">
        <v>45005</v>
      </c>
      <c r="T54" s="9" t="s">
        <v>245</v>
      </c>
      <c r="U54" s="8" t="s">
        <v>274</v>
      </c>
    </row>
    <row r="55" spans="1:21" hidden="1">
      <c r="A55" s="7">
        <v>52</v>
      </c>
      <c r="B55" s="35">
        <v>44979</v>
      </c>
      <c r="C55" s="9" t="s">
        <v>23</v>
      </c>
      <c r="D55" s="9" t="s">
        <v>27</v>
      </c>
      <c r="E55" s="9">
        <v>2</v>
      </c>
      <c r="F55" s="37">
        <v>459</v>
      </c>
      <c r="G55" s="9" t="s">
        <v>33</v>
      </c>
      <c r="H55" s="9" t="s">
        <v>282</v>
      </c>
      <c r="I55" s="23">
        <v>0</v>
      </c>
      <c r="J55" s="9" t="s">
        <v>38</v>
      </c>
      <c r="K55" s="9">
        <v>503.38</v>
      </c>
      <c r="L55" s="9" t="s">
        <v>46</v>
      </c>
      <c r="M55" s="9" t="s">
        <v>48</v>
      </c>
      <c r="N55" s="9">
        <v>0</v>
      </c>
      <c r="O55" s="9" t="s">
        <v>102</v>
      </c>
      <c r="P55" s="9" t="s">
        <v>199</v>
      </c>
      <c r="Q55" s="36">
        <v>175</v>
      </c>
      <c r="R55" s="43">
        <v>45674</v>
      </c>
      <c r="S55" s="8">
        <v>45681</v>
      </c>
      <c r="T55" s="9" t="s">
        <v>249</v>
      </c>
      <c r="U55" s="8" t="s">
        <v>276</v>
      </c>
    </row>
    <row r="56" spans="1:21" hidden="1">
      <c r="A56" s="7">
        <v>53</v>
      </c>
      <c r="B56" s="35">
        <v>44980</v>
      </c>
      <c r="C56" s="9" t="s">
        <v>20</v>
      </c>
      <c r="D56" s="9" t="s">
        <v>24</v>
      </c>
      <c r="E56" s="9">
        <v>1</v>
      </c>
      <c r="F56" s="37">
        <v>512</v>
      </c>
      <c r="G56" s="9" t="s">
        <v>31</v>
      </c>
      <c r="H56" s="9" t="s">
        <v>282</v>
      </c>
      <c r="I56" s="23">
        <v>0.1</v>
      </c>
      <c r="J56" s="9" t="s">
        <v>37</v>
      </c>
      <c r="K56" s="9">
        <v>242.46899999999999</v>
      </c>
      <c r="L56" s="9" t="s">
        <v>47</v>
      </c>
      <c r="M56" s="9" t="s">
        <v>50</v>
      </c>
      <c r="N56" s="9">
        <v>1</v>
      </c>
      <c r="O56" s="9" t="s">
        <v>103</v>
      </c>
      <c r="P56" s="9" t="s">
        <v>200</v>
      </c>
      <c r="Q56" s="36">
        <v>132</v>
      </c>
      <c r="R56" s="43">
        <v>45547</v>
      </c>
      <c r="S56" s="8">
        <v>45553</v>
      </c>
      <c r="T56" s="9" t="s">
        <v>246</v>
      </c>
      <c r="U56" s="8" t="s">
        <v>277</v>
      </c>
    </row>
    <row r="57" spans="1:21" hidden="1">
      <c r="A57" s="7">
        <v>54</v>
      </c>
      <c r="B57" s="35">
        <v>44981</v>
      </c>
      <c r="C57" s="9" t="s">
        <v>20</v>
      </c>
      <c r="D57" s="33" t="s">
        <v>28</v>
      </c>
      <c r="E57" s="9">
        <v>2</v>
      </c>
      <c r="F57" s="37">
        <v>635</v>
      </c>
      <c r="G57" s="9" t="s">
        <v>31</v>
      </c>
      <c r="H57" s="9" t="s">
        <v>280</v>
      </c>
      <c r="I57" s="23">
        <v>0.05</v>
      </c>
      <c r="J57" s="9" t="s">
        <v>42</v>
      </c>
      <c r="K57" s="9">
        <v>705.47</v>
      </c>
      <c r="L57" s="9" t="s">
        <v>45</v>
      </c>
      <c r="M57" s="9" t="s">
        <v>49</v>
      </c>
      <c r="N57" s="9">
        <v>0</v>
      </c>
      <c r="O57" s="9" t="s">
        <v>104</v>
      </c>
      <c r="P57" s="9" t="s">
        <v>201</v>
      </c>
      <c r="Q57" s="36">
        <v>471</v>
      </c>
      <c r="R57" s="43">
        <v>45296</v>
      </c>
      <c r="S57" s="8">
        <v>45306</v>
      </c>
      <c r="T57" s="9" t="s">
        <v>246</v>
      </c>
      <c r="U57" s="8" t="s">
        <v>278</v>
      </c>
    </row>
    <row r="58" spans="1:21" hidden="1">
      <c r="A58" s="7">
        <v>55</v>
      </c>
      <c r="B58" s="35">
        <v>44982</v>
      </c>
      <c r="C58" s="9" t="s">
        <v>23</v>
      </c>
      <c r="D58" s="9" t="s">
        <v>29</v>
      </c>
      <c r="E58" s="9">
        <v>11</v>
      </c>
      <c r="F58" s="37">
        <v>634</v>
      </c>
      <c r="G58" s="9" t="s">
        <v>32</v>
      </c>
      <c r="H58" s="9" t="s">
        <v>281</v>
      </c>
      <c r="I58" s="23">
        <v>0.15</v>
      </c>
      <c r="J58" s="9" t="s">
        <v>41</v>
      </c>
      <c r="K58" s="9">
        <v>2695.0439999999999</v>
      </c>
      <c r="L58" s="9" t="s">
        <v>43</v>
      </c>
      <c r="M58" s="9"/>
      <c r="N58" s="9">
        <v>0</v>
      </c>
      <c r="O58" s="9" t="s">
        <v>105</v>
      </c>
      <c r="P58" s="9" t="s">
        <v>202</v>
      </c>
      <c r="Q58" s="36">
        <v>280</v>
      </c>
      <c r="R58" s="43">
        <v>45401</v>
      </c>
      <c r="S58" s="8">
        <v>45407</v>
      </c>
      <c r="T58" s="9" t="s">
        <v>249</v>
      </c>
      <c r="U58" s="8" t="s">
        <v>279</v>
      </c>
    </row>
    <row r="59" spans="1:21">
      <c r="A59" s="7">
        <v>56</v>
      </c>
      <c r="B59" s="35">
        <v>44983</v>
      </c>
      <c r="C59" s="9" t="s">
        <v>22</v>
      </c>
      <c r="D59" s="9" t="s">
        <v>29</v>
      </c>
      <c r="E59" s="9">
        <v>11</v>
      </c>
      <c r="F59" s="37">
        <v>997</v>
      </c>
      <c r="G59" s="9" t="s">
        <v>34</v>
      </c>
      <c r="H59" s="9" t="s">
        <v>282</v>
      </c>
      <c r="I59" s="23">
        <v>0.05</v>
      </c>
      <c r="J59" s="9" t="s">
        <v>37</v>
      </c>
      <c r="K59" s="9"/>
      <c r="L59" s="9" t="s">
        <v>45</v>
      </c>
      <c r="M59" s="9" t="s">
        <v>49</v>
      </c>
      <c r="N59" s="9">
        <v>0</v>
      </c>
      <c r="O59" s="9" t="s">
        <v>106</v>
      </c>
      <c r="P59" s="9" t="s">
        <v>203</v>
      </c>
      <c r="Q59" s="36">
        <v>471</v>
      </c>
      <c r="R59" s="43">
        <v>45819</v>
      </c>
      <c r="S59" s="8">
        <v>45829</v>
      </c>
      <c r="T59" s="9" t="s">
        <v>248</v>
      </c>
      <c r="U59" s="8" t="s">
        <v>274</v>
      </c>
    </row>
    <row r="60" spans="1:21" hidden="1">
      <c r="A60" s="7">
        <v>57</v>
      </c>
      <c r="B60" s="35">
        <v>44984</v>
      </c>
      <c r="C60" s="9" t="s">
        <v>19</v>
      </c>
      <c r="D60" s="9" t="s">
        <v>25</v>
      </c>
      <c r="E60" s="9">
        <v>17</v>
      </c>
      <c r="F60" s="37">
        <v>556</v>
      </c>
      <c r="G60" s="9" t="s">
        <v>31</v>
      </c>
      <c r="H60" s="9" t="s">
        <v>282</v>
      </c>
      <c r="I60" s="23">
        <v>0.15</v>
      </c>
      <c r="J60" s="9" t="s">
        <v>40</v>
      </c>
      <c r="K60" s="9">
        <v>2113.7460000000001</v>
      </c>
      <c r="L60" s="9" t="s">
        <v>47</v>
      </c>
      <c r="M60" s="9" t="s">
        <v>49</v>
      </c>
      <c r="N60" s="9">
        <v>0</v>
      </c>
      <c r="O60" s="9" t="s">
        <v>107</v>
      </c>
      <c r="P60" s="9" t="s">
        <v>204</v>
      </c>
      <c r="Q60" s="36">
        <v>477</v>
      </c>
      <c r="R60" s="43">
        <v>45722</v>
      </c>
      <c r="S60" s="8">
        <v>45731</v>
      </c>
      <c r="T60" s="9" t="s">
        <v>245</v>
      </c>
      <c r="U60" s="8" t="s">
        <v>276</v>
      </c>
    </row>
    <row r="61" spans="1:21" hidden="1">
      <c r="A61" s="7">
        <v>58</v>
      </c>
      <c r="B61" s="35">
        <v>44985</v>
      </c>
      <c r="C61" s="9" t="s">
        <v>19</v>
      </c>
      <c r="D61" s="9" t="s">
        <v>27</v>
      </c>
      <c r="E61" s="9">
        <v>5</v>
      </c>
      <c r="F61" s="37">
        <v>420</v>
      </c>
      <c r="G61" s="9" t="s">
        <v>33</v>
      </c>
      <c r="H61" s="9" t="s">
        <v>280</v>
      </c>
      <c r="I61" s="23">
        <v>0.1</v>
      </c>
      <c r="J61" s="9" t="s">
        <v>37</v>
      </c>
      <c r="K61" s="9">
        <v>451.71</v>
      </c>
      <c r="L61" s="9" t="s">
        <v>44</v>
      </c>
      <c r="M61" s="9" t="s">
        <v>50</v>
      </c>
      <c r="N61" s="9">
        <v>1</v>
      </c>
      <c r="O61" s="9" t="s">
        <v>108</v>
      </c>
      <c r="P61" s="9" t="s">
        <v>205</v>
      </c>
      <c r="Q61" s="36">
        <v>422</v>
      </c>
      <c r="R61" s="43">
        <v>45070</v>
      </c>
      <c r="S61" s="8">
        <v>45072</v>
      </c>
      <c r="T61" s="9" t="s">
        <v>245</v>
      </c>
      <c r="U61" s="8" t="s">
        <v>277</v>
      </c>
    </row>
    <row r="62" spans="1:21" hidden="1">
      <c r="A62" s="7">
        <v>59</v>
      </c>
      <c r="B62" s="35">
        <v>44986</v>
      </c>
      <c r="C62" s="9" t="s">
        <v>20</v>
      </c>
      <c r="D62" s="9" t="s">
        <v>25</v>
      </c>
      <c r="E62" s="9">
        <v>11</v>
      </c>
      <c r="F62" s="37">
        <v>820</v>
      </c>
      <c r="G62" s="9" t="s">
        <v>31</v>
      </c>
      <c r="H62" s="9" t="s">
        <v>281</v>
      </c>
      <c r="I62" s="23">
        <v>0.05</v>
      </c>
      <c r="J62" s="9" t="s">
        <v>42</v>
      </c>
      <c r="K62" s="9">
        <v>3923.766000000001</v>
      </c>
      <c r="L62" s="9" t="s">
        <v>46</v>
      </c>
      <c r="M62" s="9" t="s">
        <v>50</v>
      </c>
      <c r="N62" s="9">
        <v>0</v>
      </c>
      <c r="O62" s="9" t="s">
        <v>109</v>
      </c>
      <c r="P62" s="9" t="s">
        <v>206</v>
      </c>
      <c r="Q62" s="36">
        <v>431</v>
      </c>
      <c r="R62" s="43">
        <v>44953</v>
      </c>
      <c r="S62" s="8">
        <v>44960</v>
      </c>
      <c r="T62" s="9" t="s">
        <v>246</v>
      </c>
      <c r="U62" s="8" t="s">
        <v>278</v>
      </c>
    </row>
    <row r="63" spans="1:21" hidden="1">
      <c r="A63" s="7">
        <v>60</v>
      </c>
      <c r="B63" s="35">
        <v>44987</v>
      </c>
      <c r="C63" s="9" t="s">
        <v>20</v>
      </c>
      <c r="D63" s="9" t="s">
        <v>24</v>
      </c>
      <c r="E63" s="9">
        <v>18</v>
      </c>
      <c r="F63" s="37">
        <v>694</v>
      </c>
      <c r="G63" s="9" t="s">
        <v>31</v>
      </c>
      <c r="H63" s="9" t="s">
        <v>282</v>
      </c>
      <c r="I63" s="23">
        <v>0.05</v>
      </c>
      <c r="J63" s="9" t="s">
        <v>42</v>
      </c>
      <c r="K63" s="9">
        <v>5418.8190000000004</v>
      </c>
      <c r="L63" s="9" t="s">
        <v>47</v>
      </c>
      <c r="M63" s="9" t="s">
        <v>48</v>
      </c>
      <c r="N63" s="9">
        <v>0</v>
      </c>
      <c r="O63" s="9" t="s">
        <v>110</v>
      </c>
      <c r="P63" s="9" t="s">
        <v>207</v>
      </c>
      <c r="Q63" s="36">
        <v>154</v>
      </c>
      <c r="R63" s="43">
        <v>45372</v>
      </c>
      <c r="S63" s="8">
        <v>45378</v>
      </c>
      <c r="T63" s="9" t="s">
        <v>246</v>
      </c>
      <c r="U63" s="8" t="s">
        <v>279</v>
      </c>
    </row>
    <row r="64" spans="1:21" hidden="1">
      <c r="A64" s="7">
        <v>61</v>
      </c>
      <c r="B64" s="35">
        <v>44988</v>
      </c>
      <c r="C64" s="9" t="s">
        <v>23</v>
      </c>
      <c r="D64" s="9" t="s">
        <v>24</v>
      </c>
      <c r="E64" s="9">
        <v>20</v>
      </c>
      <c r="F64" s="37">
        <v>713</v>
      </c>
      <c r="G64" s="9" t="s">
        <v>34</v>
      </c>
      <c r="H64" s="9" t="s">
        <v>282</v>
      </c>
      <c r="I64" s="23">
        <v>0.15</v>
      </c>
      <c r="J64" s="9" t="s">
        <v>39</v>
      </c>
      <c r="K64" s="9">
        <v>5016.0200000000004</v>
      </c>
      <c r="L64" s="9" t="s">
        <v>43</v>
      </c>
      <c r="M64" s="9" t="s">
        <v>49</v>
      </c>
      <c r="N64" s="9">
        <v>1</v>
      </c>
      <c r="O64" s="9" t="s">
        <v>111</v>
      </c>
      <c r="P64" s="9" t="s">
        <v>208</v>
      </c>
      <c r="Q64" s="36">
        <v>176</v>
      </c>
      <c r="R64" s="43">
        <v>45682</v>
      </c>
      <c r="S64" s="8">
        <v>45688</v>
      </c>
      <c r="T64" s="9" t="s">
        <v>249</v>
      </c>
      <c r="U64" s="8" t="s">
        <v>274</v>
      </c>
    </row>
    <row r="65" spans="1:21">
      <c r="A65" s="7">
        <v>62</v>
      </c>
      <c r="B65" s="35">
        <v>44989</v>
      </c>
      <c r="C65" s="9" t="s">
        <v>22</v>
      </c>
      <c r="D65" s="9" t="s">
        <v>25</v>
      </c>
      <c r="E65" s="9">
        <v>8</v>
      </c>
      <c r="F65" s="37">
        <v>814</v>
      </c>
      <c r="G65" s="9" t="s">
        <v>34</v>
      </c>
      <c r="H65" s="9" t="s">
        <v>280</v>
      </c>
      <c r="I65" s="23">
        <v>0</v>
      </c>
      <c r="J65" s="9" t="s">
        <v>37</v>
      </c>
      <c r="K65" s="9"/>
      <c r="L65" s="9" t="s">
        <v>47</v>
      </c>
      <c r="M65" s="9" t="s">
        <v>49</v>
      </c>
      <c r="N65" s="9">
        <v>0</v>
      </c>
      <c r="O65" s="9" t="s">
        <v>112</v>
      </c>
      <c r="P65" s="9" t="s">
        <v>209</v>
      </c>
      <c r="Q65" s="36">
        <v>317</v>
      </c>
      <c r="R65" s="43">
        <v>45089</v>
      </c>
      <c r="S65" s="8">
        <v>45098</v>
      </c>
      <c r="T65" s="9" t="s">
        <v>248</v>
      </c>
      <c r="U65" s="8" t="s">
        <v>276</v>
      </c>
    </row>
    <row r="66" spans="1:21">
      <c r="A66" s="7">
        <v>63</v>
      </c>
      <c r="B66" s="35">
        <v>44990</v>
      </c>
      <c r="C66" s="9" t="s">
        <v>22</v>
      </c>
      <c r="D66" s="9" t="s">
        <v>27</v>
      </c>
      <c r="E66" s="9">
        <v>3</v>
      </c>
      <c r="F66" s="37">
        <v>969</v>
      </c>
      <c r="G66" s="9" t="s">
        <v>31</v>
      </c>
      <c r="H66" s="9" t="s">
        <v>281</v>
      </c>
      <c r="I66" s="23">
        <v>0.1</v>
      </c>
      <c r="J66" s="9" t="s">
        <v>38</v>
      </c>
      <c r="K66" s="9"/>
      <c r="L66" s="9" t="s">
        <v>44</v>
      </c>
      <c r="M66" s="9"/>
      <c r="N66" s="9">
        <v>0</v>
      </c>
      <c r="O66" s="9" t="s">
        <v>113</v>
      </c>
      <c r="P66" s="9" t="s">
        <v>210</v>
      </c>
      <c r="Q66" s="36">
        <v>284</v>
      </c>
      <c r="R66" s="43">
        <v>45738</v>
      </c>
      <c r="S66" s="8">
        <v>45742</v>
      </c>
      <c r="T66" s="9" t="s">
        <v>248</v>
      </c>
      <c r="U66" s="8" t="s">
        <v>277</v>
      </c>
    </row>
    <row r="67" spans="1:21">
      <c r="A67" s="7">
        <v>64</v>
      </c>
      <c r="B67" s="35">
        <v>44991</v>
      </c>
      <c r="C67" s="9" t="s">
        <v>22</v>
      </c>
      <c r="D67" s="9" t="s">
        <v>26</v>
      </c>
      <c r="E67" s="9">
        <v>16</v>
      </c>
      <c r="F67" s="37">
        <v>213</v>
      </c>
      <c r="G67" s="9" t="s">
        <v>34</v>
      </c>
      <c r="H67" s="9" t="s">
        <v>282</v>
      </c>
      <c r="I67" s="23">
        <v>0.15</v>
      </c>
      <c r="J67" s="9" t="s">
        <v>42</v>
      </c>
      <c r="K67" s="9"/>
      <c r="L67" s="9" t="s">
        <v>46</v>
      </c>
      <c r="M67" s="9" t="s">
        <v>48</v>
      </c>
      <c r="N67" s="9">
        <v>0</v>
      </c>
      <c r="O67" s="9" t="s">
        <v>114</v>
      </c>
      <c r="P67" s="9" t="s">
        <v>211</v>
      </c>
      <c r="Q67" s="36">
        <v>84463</v>
      </c>
      <c r="R67" s="43">
        <v>45346</v>
      </c>
      <c r="S67" s="8">
        <v>45349</v>
      </c>
      <c r="T67" s="9" t="s">
        <v>248</v>
      </c>
      <c r="U67" s="8" t="s">
        <v>278</v>
      </c>
    </row>
    <row r="68" spans="1:21" hidden="1">
      <c r="A68" s="7">
        <v>65</v>
      </c>
      <c r="B68" s="35">
        <v>44992</v>
      </c>
      <c r="C68" s="9" t="s">
        <v>20</v>
      </c>
      <c r="D68" s="9" t="s">
        <v>27</v>
      </c>
      <c r="E68" s="9">
        <v>15</v>
      </c>
      <c r="F68" s="37">
        <v>299</v>
      </c>
      <c r="G68" s="9" t="s">
        <v>31</v>
      </c>
      <c r="H68" s="9" t="s">
        <v>282</v>
      </c>
      <c r="I68" s="23">
        <v>0</v>
      </c>
      <c r="J68" s="9" t="s">
        <v>39</v>
      </c>
      <c r="K68" s="9">
        <v>7667.55</v>
      </c>
      <c r="L68" s="9" t="s">
        <v>43</v>
      </c>
      <c r="M68" s="9" t="s">
        <v>48</v>
      </c>
      <c r="N68" s="9">
        <v>0</v>
      </c>
      <c r="O68" s="9" t="s">
        <v>115</v>
      </c>
      <c r="P68" s="9" t="s">
        <v>212</v>
      </c>
      <c r="Q68" s="36">
        <v>180</v>
      </c>
      <c r="R68" s="43">
        <v>45269</v>
      </c>
      <c r="S68" s="8">
        <v>45272</v>
      </c>
      <c r="T68" s="9" t="s">
        <v>246</v>
      </c>
      <c r="U68" s="8" t="s">
        <v>279</v>
      </c>
    </row>
    <row r="69" spans="1:21">
      <c r="A69" s="7">
        <v>66</v>
      </c>
      <c r="B69" s="35">
        <v>44993</v>
      </c>
      <c r="C69" s="9" t="s">
        <v>22</v>
      </c>
      <c r="D69" s="9" t="s">
        <v>28</v>
      </c>
      <c r="E69" s="9">
        <v>3</v>
      </c>
      <c r="F69" s="37">
        <v>765</v>
      </c>
      <c r="G69" s="9" t="s">
        <v>31</v>
      </c>
      <c r="H69" s="9" t="s">
        <v>280</v>
      </c>
      <c r="I69" s="23">
        <v>0.1</v>
      </c>
      <c r="J69" s="9" t="s">
        <v>39</v>
      </c>
      <c r="K69" s="9"/>
      <c r="L69" s="9" t="s">
        <v>46</v>
      </c>
      <c r="M69" s="9" t="s">
        <v>48</v>
      </c>
      <c r="N69" s="9">
        <v>0</v>
      </c>
      <c r="O69" s="9" t="s">
        <v>116</v>
      </c>
      <c r="P69" s="9" t="s">
        <v>213</v>
      </c>
      <c r="Q69" s="36">
        <v>684839</v>
      </c>
      <c r="R69" s="43">
        <v>45200</v>
      </c>
      <c r="S69" s="8">
        <v>45204</v>
      </c>
      <c r="T69" s="9" t="s">
        <v>248</v>
      </c>
      <c r="U69" s="8" t="s">
        <v>274</v>
      </c>
    </row>
    <row r="70" spans="1:21" hidden="1">
      <c r="A70" s="7">
        <v>67</v>
      </c>
      <c r="B70" s="35">
        <v>44994</v>
      </c>
      <c r="C70" s="9" t="s">
        <v>23</v>
      </c>
      <c r="D70" s="9" t="s">
        <v>29</v>
      </c>
      <c r="E70" s="9">
        <v>5</v>
      </c>
      <c r="F70" s="37">
        <v>606</v>
      </c>
      <c r="G70" s="9" t="s">
        <v>34</v>
      </c>
      <c r="H70" s="9" t="s">
        <v>281</v>
      </c>
      <c r="I70" s="23">
        <v>0.05</v>
      </c>
      <c r="J70" s="9" t="s">
        <v>39</v>
      </c>
      <c r="K70" s="9">
        <v>2329.9699999999998</v>
      </c>
      <c r="L70" s="9" t="s">
        <v>43</v>
      </c>
      <c r="M70" s="9"/>
      <c r="N70" s="9">
        <v>0</v>
      </c>
      <c r="O70" s="9" t="s">
        <v>117</v>
      </c>
      <c r="P70" s="9" t="s">
        <v>214</v>
      </c>
      <c r="Q70" s="36">
        <v>491</v>
      </c>
      <c r="R70" s="43">
        <v>45138</v>
      </c>
      <c r="S70" s="8">
        <v>45145</v>
      </c>
      <c r="T70" s="9" t="s">
        <v>249</v>
      </c>
      <c r="U70" s="8" t="s">
        <v>276</v>
      </c>
    </row>
    <row r="71" spans="1:21" hidden="1">
      <c r="A71" s="7">
        <v>68</v>
      </c>
      <c r="B71" s="35">
        <v>44995</v>
      </c>
      <c r="C71" s="9" t="s">
        <v>20</v>
      </c>
      <c r="D71" s="9" t="s">
        <v>27</v>
      </c>
      <c r="E71" s="9">
        <v>8</v>
      </c>
      <c r="F71" s="37">
        <v>794</v>
      </c>
      <c r="G71" s="9" t="s">
        <v>32</v>
      </c>
      <c r="H71" s="9" t="s">
        <v>282</v>
      </c>
      <c r="I71" s="23">
        <v>0.05</v>
      </c>
      <c r="J71" s="9" t="s">
        <v>40</v>
      </c>
      <c r="K71" s="9">
        <v>3085.2959999999998</v>
      </c>
      <c r="L71" s="9" t="s">
        <v>45</v>
      </c>
      <c r="M71" s="9" t="s">
        <v>50</v>
      </c>
      <c r="N71" s="9">
        <v>0</v>
      </c>
      <c r="O71" s="9" t="s">
        <v>118</v>
      </c>
      <c r="P71" s="9" t="s">
        <v>215</v>
      </c>
      <c r="Q71" s="36">
        <v>495</v>
      </c>
      <c r="R71" s="43">
        <v>45650</v>
      </c>
      <c r="S71" s="8">
        <v>45657</v>
      </c>
      <c r="T71" s="9" t="s">
        <v>246</v>
      </c>
      <c r="U71" s="8" t="s">
        <v>277</v>
      </c>
    </row>
    <row r="72" spans="1:21" hidden="1">
      <c r="A72" s="7">
        <v>69</v>
      </c>
      <c r="B72" s="35">
        <v>44996</v>
      </c>
      <c r="C72" s="9" t="s">
        <v>21</v>
      </c>
      <c r="D72" s="9" t="s">
        <v>25</v>
      </c>
      <c r="E72" s="9">
        <v>1</v>
      </c>
      <c r="F72" s="37">
        <v>702</v>
      </c>
      <c r="G72" s="9" t="s">
        <v>31</v>
      </c>
      <c r="H72" s="9" t="s">
        <v>282</v>
      </c>
      <c r="I72" s="23">
        <v>0.1</v>
      </c>
      <c r="J72" s="9" t="s">
        <v>42</v>
      </c>
      <c r="K72" s="9">
        <v>143.46899999999999</v>
      </c>
      <c r="L72" s="9" t="s">
        <v>45</v>
      </c>
      <c r="M72" s="9" t="s">
        <v>48</v>
      </c>
      <c r="N72" s="9">
        <v>0</v>
      </c>
      <c r="O72" s="9" t="s">
        <v>119</v>
      </c>
      <c r="P72" s="9" t="s">
        <v>216</v>
      </c>
      <c r="Q72" s="36">
        <v>451</v>
      </c>
      <c r="R72" s="43">
        <v>45611</v>
      </c>
      <c r="S72" s="8">
        <v>45615</v>
      </c>
      <c r="T72" s="9" t="s">
        <v>247</v>
      </c>
      <c r="U72" s="8" t="s">
        <v>278</v>
      </c>
    </row>
    <row r="73" spans="1:21" hidden="1">
      <c r="A73" s="7">
        <v>70</v>
      </c>
      <c r="B73" s="35">
        <v>44997</v>
      </c>
      <c r="C73" s="9" t="s">
        <v>23</v>
      </c>
      <c r="D73" s="9" t="s">
        <v>28</v>
      </c>
      <c r="E73" s="9">
        <v>16</v>
      </c>
      <c r="F73" s="37">
        <v>595</v>
      </c>
      <c r="G73" s="9" t="s">
        <v>33</v>
      </c>
      <c r="H73" s="9" t="s">
        <v>280</v>
      </c>
      <c r="I73" s="23">
        <v>0.15</v>
      </c>
      <c r="J73" s="9" t="s">
        <v>40</v>
      </c>
      <c r="K73" s="9">
        <v>523.46400000000006</v>
      </c>
      <c r="L73" s="9" t="s">
        <v>46</v>
      </c>
      <c r="M73" s="9" t="s">
        <v>49</v>
      </c>
      <c r="N73" s="9">
        <v>0</v>
      </c>
      <c r="O73" s="9" t="s">
        <v>120</v>
      </c>
      <c r="P73" s="9" t="s">
        <v>217</v>
      </c>
      <c r="Q73" s="36">
        <v>164</v>
      </c>
      <c r="R73" s="43">
        <v>45729</v>
      </c>
      <c r="S73" s="8">
        <v>45738</v>
      </c>
      <c r="T73" s="9" t="s">
        <v>249</v>
      </c>
      <c r="U73" s="8" t="s">
        <v>279</v>
      </c>
    </row>
    <row r="74" spans="1:21" hidden="1">
      <c r="A74" s="7">
        <v>71</v>
      </c>
      <c r="B74" s="35">
        <v>44998</v>
      </c>
      <c r="C74" s="9" t="s">
        <v>19</v>
      </c>
      <c r="D74" s="9" t="s">
        <v>29</v>
      </c>
      <c r="E74" s="9">
        <v>15</v>
      </c>
      <c r="F74" s="37">
        <v>262</v>
      </c>
      <c r="G74" s="9" t="s">
        <v>34</v>
      </c>
      <c r="H74" s="9" t="s">
        <v>281</v>
      </c>
      <c r="I74" s="23">
        <v>0.15</v>
      </c>
      <c r="J74" s="9" t="s">
        <v>38</v>
      </c>
      <c r="K74" s="9">
        <v>4186.59</v>
      </c>
      <c r="L74" s="9" t="s">
        <v>44</v>
      </c>
      <c r="M74" s="9" t="s">
        <v>50</v>
      </c>
      <c r="N74" s="9">
        <v>0</v>
      </c>
      <c r="O74" s="9" t="s">
        <v>121</v>
      </c>
      <c r="P74" s="9" t="s">
        <v>218</v>
      </c>
      <c r="Q74" s="36">
        <v>431</v>
      </c>
      <c r="R74" s="43">
        <v>45354</v>
      </c>
      <c r="S74" s="8">
        <v>45363</v>
      </c>
      <c r="T74" s="9" t="s">
        <v>245</v>
      </c>
      <c r="U74" s="8" t="s">
        <v>274</v>
      </c>
    </row>
    <row r="75" spans="1:21">
      <c r="A75" s="7">
        <v>72</v>
      </c>
      <c r="B75" s="35">
        <v>44999</v>
      </c>
      <c r="C75" s="9" t="s">
        <v>22</v>
      </c>
      <c r="D75" s="9" t="s">
        <v>29</v>
      </c>
      <c r="E75" s="9">
        <v>20</v>
      </c>
      <c r="F75" s="37">
        <v>623</v>
      </c>
      <c r="G75" s="9" t="s">
        <v>32</v>
      </c>
      <c r="H75" s="9" t="s">
        <v>282</v>
      </c>
      <c r="I75" s="23">
        <v>0.1</v>
      </c>
      <c r="J75" s="9" t="s">
        <v>37</v>
      </c>
      <c r="K75" s="9"/>
      <c r="L75" s="9" t="s">
        <v>45</v>
      </c>
      <c r="M75" s="9" t="s">
        <v>50</v>
      </c>
      <c r="N75" s="9">
        <v>1</v>
      </c>
      <c r="O75" s="9" t="s">
        <v>122</v>
      </c>
      <c r="P75" s="9" t="s">
        <v>219</v>
      </c>
      <c r="Q75" s="36">
        <v>285</v>
      </c>
      <c r="R75" s="43">
        <v>44968</v>
      </c>
      <c r="S75" s="8">
        <v>44971</v>
      </c>
      <c r="T75" s="9" t="s">
        <v>248</v>
      </c>
      <c r="U75" s="8" t="s">
        <v>276</v>
      </c>
    </row>
    <row r="76" spans="1:21" hidden="1">
      <c r="A76" s="7">
        <v>73</v>
      </c>
      <c r="B76" s="35">
        <v>45000</v>
      </c>
      <c r="C76" s="9" t="s">
        <v>20</v>
      </c>
      <c r="D76" s="9" t="s">
        <v>26</v>
      </c>
      <c r="E76" s="9">
        <v>13</v>
      </c>
      <c r="F76" s="37">
        <v>843</v>
      </c>
      <c r="G76" s="9" t="s">
        <v>31</v>
      </c>
      <c r="H76" s="9" t="s">
        <v>282</v>
      </c>
      <c r="I76" s="23">
        <v>0.05</v>
      </c>
      <c r="J76" s="9" t="s">
        <v>40</v>
      </c>
      <c r="K76" s="9">
        <v>5982.9575000000004</v>
      </c>
      <c r="L76" s="9" t="s">
        <v>44</v>
      </c>
      <c r="M76" s="9" t="s">
        <v>50</v>
      </c>
      <c r="N76" s="9">
        <v>1</v>
      </c>
      <c r="O76" s="9" t="s">
        <v>123</v>
      </c>
      <c r="P76" s="9" t="s">
        <v>220</v>
      </c>
      <c r="Q76" s="36">
        <v>409</v>
      </c>
      <c r="R76" s="43">
        <v>45225</v>
      </c>
      <c r="S76" s="8">
        <v>45235</v>
      </c>
      <c r="T76" s="9" t="s">
        <v>246</v>
      </c>
      <c r="U76" s="8" t="s">
        <v>277</v>
      </c>
    </row>
    <row r="77" spans="1:21" hidden="1">
      <c r="A77" s="7">
        <v>74</v>
      </c>
      <c r="B77" s="35">
        <v>45001</v>
      </c>
      <c r="C77" s="9" t="s">
        <v>20</v>
      </c>
      <c r="D77" s="9" t="s">
        <v>28</v>
      </c>
      <c r="E77" s="9">
        <v>13</v>
      </c>
      <c r="F77" s="37">
        <v>666</v>
      </c>
      <c r="G77" s="9" t="s">
        <v>32</v>
      </c>
      <c r="H77" s="9" t="s">
        <v>280</v>
      </c>
      <c r="I77" s="23">
        <v>0.05</v>
      </c>
      <c r="J77" s="9" t="s">
        <v>38</v>
      </c>
      <c r="K77" s="9">
        <v>2418.6239999999998</v>
      </c>
      <c r="L77" s="9" t="s">
        <v>45</v>
      </c>
      <c r="M77" s="9"/>
      <c r="N77" s="9">
        <v>0</v>
      </c>
      <c r="O77" s="9" t="s">
        <v>124</v>
      </c>
      <c r="P77" s="9" t="s">
        <v>221</v>
      </c>
      <c r="Q77" s="36">
        <v>261</v>
      </c>
      <c r="R77" s="43">
        <v>45220</v>
      </c>
      <c r="S77" s="8">
        <v>45227</v>
      </c>
      <c r="T77" s="9" t="s">
        <v>246</v>
      </c>
      <c r="U77" s="8" t="s">
        <v>278</v>
      </c>
    </row>
    <row r="78" spans="1:21">
      <c r="A78" s="7">
        <v>75</v>
      </c>
      <c r="B78" s="35">
        <v>45002</v>
      </c>
      <c r="C78" s="9" t="s">
        <v>22</v>
      </c>
      <c r="D78" s="9" t="s">
        <v>29</v>
      </c>
      <c r="E78" s="9">
        <v>19</v>
      </c>
      <c r="F78" s="37">
        <v>214</v>
      </c>
      <c r="G78" s="9" t="s">
        <v>34</v>
      </c>
      <c r="H78" s="9" t="s">
        <v>281</v>
      </c>
      <c r="I78" s="23">
        <v>0.15</v>
      </c>
      <c r="J78" s="9" t="s">
        <v>41</v>
      </c>
      <c r="K78" s="9"/>
      <c r="L78" s="9" t="s">
        <v>46</v>
      </c>
      <c r="M78" s="9" t="s">
        <v>48</v>
      </c>
      <c r="N78" s="9">
        <v>0</v>
      </c>
      <c r="O78" s="9" t="s">
        <v>125</v>
      </c>
      <c r="P78" s="9" t="s">
        <v>222</v>
      </c>
      <c r="Q78" s="36">
        <v>256</v>
      </c>
      <c r="R78" s="43">
        <v>45305</v>
      </c>
      <c r="S78" s="8">
        <v>45311</v>
      </c>
      <c r="T78" s="9" t="s">
        <v>248</v>
      </c>
      <c r="U78" s="8" t="s">
        <v>279</v>
      </c>
    </row>
    <row r="79" spans="1:21">
      <c r="A79" s="7">
        <v>76</v>
      </c>
      <c r="B79" s="35">
        <v>45003</v>
      </c>
      <c r="C79" s="9" t="s">
        <v>22</v>
      </c>
      <c r="D79" s="9" t="s">
        <v>26</v>
      </c>
      <c r="E79" s="9">
        <v>10</v>
      </c>
      <c r="F79" s="37">
        <v>724</v>
      </c>
      <c r="G79" s="9" t="s">
        <v>34</v>
      </c>
      <c r="H79" s="9" t="s">
        <v>282</v>
      </c>
      <c r="I79" s="23">
        <v>0.1</v>
      </c>
      <c r="J79" s="9" t="s">
        <v>37</v>
      </c>
      <c r="K79" s="9"/>
      <c r="L79" s="9" t="s">
        <v>43</v>
      </c>
      <c r="M79" s="9"/>
      <c r="N79" s="9">
        <v>0</v>
      </c>
      <c r="O79" s="9" t="s">
        <v>126</v>
      </c>
      <c r="P79" s="9" t="s">
        <v>223</v>
      </c>
      <c r="Q79" s="36">
        <v>118</v>
      </c>
      <c r="R79" s="43">
        <v>45134</v>
      </c>
      <c r="S79" s="8">
        <v>45138</v>
      </c>
      <c r="T79" s="9" t="s">
        <v>248</v>
      </c>
      <c r="U79" s="8" t="s">
        <v>274</v>
      </c>
    </row>
    <row r="80" spans="1:21" hidden="1">
      <c r="A80" s="7">
        <v>77</v>
      </c>
      <c r="B80" s="35">
        <v>45004</v>
      </c>
      <c r="C80" s="9" t="s">
        <v>20</v>
      </c>
      <c r="D80" s="9" t="s">
        <v>25</v>
      </c>
      <c r="E80" s="9">
        <v>14</v>
      </c>
      <c r="F80" s="37">
        <v>945</v>
      </c>
      <c r="G80" s="9" t="s">
        <v>31</v>
      </c>
      <c r="H80" s="9" t="s">
        <v>282</v>
      </c>
      <c r="I80" s="23">
        <v>0.1</v>
      </c>
      <c r="J80" s="9" t="s">
        <v>42</v>
      </c>
      <c r="K80" s="9">
        <v>5613.5519999999997</v>
      </c>
      <c r="L80" s="9" t="s">
        <v>43</v>
      </c>
      <c r="M80" s="9" t="s">
        <v>49</v>
      </c>
      <c r="N80" s="9">
        <v>0</v>
      </c>
      <c r="O80" s="9" t="s">
        <v>127</v>
      </c>
      <c r="P80" s="9" t="s">
        <v>224</v>
      </c>
      <c r="Q80" s="36">
        <v>132</v>
      </c>
      <c r="R80" s="43">
        <v>45588</v>
      </c>
      <c r="S80" s="8">
        <v>45590</v>
      </c>
      <c r="T80" s="9" t="s">
        <v>246</v>
      </c>
      <c r="U80" s="8" t="s">
        <v>276</v>
      </c>
    </row>
    <row r="81" spans="1:21" hidden="1">
      <c r="A81" s="7">
        <v>78</v>
      </c>
      <c r="B81" s="35">
        <v>45005</v>
      </c>
      <c r="C81" s="9" t="s">
        <v>20</v>
      </c>
      <c r="D81" s="9" t="s">
        <v>27</v>
      </c>
      <c r="E81" s="9">
        <v>5</v>
      </c>
      <c r="F81" s="37">
        <v>791</v>
      </c>
      <c r="G81" s="9" t="s">
        <v>31</v>
      </c>
      <c r="H81" s="9" t="s">
        <v>280</v>
      </c>
      <c r="I81" s="23">
        <v>0.15</v>
      </c>
      <c r="J81" s="9" t="s">
        <v>38</v>
      </c>
      <c r="K81" s="9">
        <v>2344.2150000000001</v>
      </c>
      <c r="L81" s="9" t="s">
        <v>43</v>
      </c>
      <c r="M81" s="9" t="s">
        <v>50</v>
      </c>
      <c r="N81" s="9">
        <v>1</v>
      </c>
      <c r="O81" s="9" t="s">
        <v>128</v>
      </c>
      <c r="P81" s="9" t="s">
        <v>225</v>
      </c>
      <c r="Q81" s="36">
        <v>307</v>
      </c>
      <c r="R81" s="43">
        <v>45195</v>
      </c>
      <c r="S81" s="8">
        <v>45200</v>
      </c>
      <c r="T81" s="9" t="s">
        <v>246</v>
      </c>
      <c r="U81" s="8" t="s">
        <v>277</v>
      </c>
    </row>
    <row r="82" spans="1:21" hidden="1">
      <c r="A82" s="7">
        <v>79</v>
      </c>
      <c r="B82" s="35">
        <v>45006</v>
      </c>
      <c r="C82" s="9" t="s">
        <v>19</v>
      </c>
      <c r="D82" s="9" t="s">
        <v>25</v>
      </c>
      <c r="E82" s="9">
        <v>13</v>
      </c>
      <c r="F82" s="37">
        <v>509</v>
      </c>
      <c r="G82" s="9" t="s">
        <v>34</v>
      </c>
      <c r="H82" s="9" t="s">
        <v>281</v>
      </c>
      <c r="I82" s="23">
        <v>0</v>
      </c>
      <c r="J82" s="9" t="s">
        <v>40</v>
      </c>
      <c r="K82" s="9">
        <v>3138.2</v>
      </c>
      <c r="L82" s="9" t="s">
        <v>44</v>
      </c>
      <c r="M82" s="9" t="s">
        <v>49</v>
      </c>
      <c r="N82" s="9">
        <v>0</v>
      </c>
      <c r="O82" s="9" t="s">
        <v>129</v>
      </c>
      <c r="P82" s="9" t="s">
        <v>226</v>
      </c>
      <c r="Q82" s="36">
        <v>214</v>
      </c>
      <c r="R82" s="43">
        <v>45276</v>
      </c>
      <c r="S82" s="8">
        <v>45280</v>
      </c>
      <c r="T82" s="9" t="s">
        <v>245</v>
      </c>
      <c r="U82" s="8" t="s">
        <v>278</v>
      </c>
    </row>
    <row r="83" spans="1:21">
      <c r="A83" s="7">
        <v>80</v>
      </c>
      <c r="B83" s="35">
        <v>45007</v>
      </c>
      <c r="C83" s="9" t="s">
        <v>22</v>
      </c>
      <c r="D83" s="9" t="s">
        <v>30</v>
      </c>
      <c r="E83" s="9">
        <v>19</v>
      </c>
      <c r="F83" s="37">
        <v>300</v>
      </c>
      <c r="G83" s="9" t="s">
        <v>32</v>
      </c>
      <c r="H83" s="9" t="s">
        <v>282</v>
      </c>
      <c r="I83" s="23">
        <v>0</v>
      </c>
      <c r="J83" s="9" t="s">
        <v>38</v>
      </c>
      <c r="K83" s="9"/>
      <c r="L83" s="9" t="s">
        <v>45</v>
      </c>
      <c r="M83" s="9"/>
      <c r="N83" s="9">
        <v>0</v>
      </c>
      <c r="O83" s="9" t="s">
        <v>130</v>
      </c>
      <c r="P83" s="9" t="s">
        <v>227</v>
      </c>
      <c r="Q83" s="36">
        <v>6333</v>
      </c>
      <c r="R83" s="43">
        <v>45293</v>
      </c>
      <c r="S83" s="8">
        <v>45296</v>
      </c>
      <c r="T83" s="9" t="s">
        <v>248</v>
      </c>
      <c r="U83" s="8" t="s">
        <v>279</v>
      </c>
    </row>
    <row r="84" spans="1:21" hidden="1">
      <c r="A84" s="7">
        <v>81</v>
      </c>
      <c r="B84" s="35">
        <v>45008</v>
      </c>
      <c r="C84" s="9" t="s">
        <v>21</v>
      </c>
      <c r="D84" s="9" t="s">
        <v>25</v>
      </c>
      <c r="E84" s="9">
        <v>4</v>
      </c>
      <c r="F84" s="37">
        <v>711</v>
      </c>
      <c r="G84" s="9" t="s">
        <v>32</v>
      </c>
      <c r="H84" s="9" t="s">
        <v>282</v>
      </c>
      <c r="I84" s="23">
        <v>0.05</v>
      </c>
      <c r="J84" s="9" t="s">
        <v>38</v>
      </c>
      <c r="K84" s="9">
        <v>318.25</v>
      </c>
      <c r="L84" s="9" t="s">
        <v>46</v>
      </c>
      <c r="M84" s="9" t="s">
        <v>49</v>
      </c>
      <c r="N84" s="9">
        <v>1</v>
      </c>
      <c r="O84" s="9" t="s">
        <v>131</v>
      </c>
      <c r="P84" s="9" t="s">
        <v>228</v>
      </c>
      <c r="Q84" s="36">
        <v>482</v>
      </c>
      <c r="R84" s="43">
        <v>45338</v>
      </c>
      <c r="S84" s="8">
        <v>45347</v>
      </c>
      <c r="T84" s="9" t="s">
        <v>247</v>
      </c>
      <c r="U84" s="8" t="s">
        <v>274</v>
      </c>
    </row>
    <row r="85" spans="1:21" hidden="1">
      <c r="A85" s="7">
        <v>82</v>
      </c>
      <c r="B85" s="35">
        <v>45009</v>
      </c>
      <c r="C85" s="9" t="s">
        <v>19</v>
      </c>
      <c r="D85" s="9" t="s">
        <v>28</v>
      </c>
      <c r="E85" s="9">
        <v>5</v>
      </c>
      <c r="F85" s="37">
        <v>997</v>
      </c>
      <c r="G85" s="9" t="s">
        <v>32</v>
      </c>
      <c r="H85" s="9" t="s">
        <v>280</v>
      </c>
      <c r="I85" s="23">
        <v>0.15</v>
      </c>
      <c r="J85" s="9" t="s">
        <v>39</v>
      </c>
      <c r="K85" s="9">
        <v>1772.075</v>
      </c>
      <c r="L85" s="9" t="s">
        <v>43</v>
      </c>
      <c r="M85" s="9"/>
      <c r="N85" s="9">
        <v>1</v>
      </c>
      <c r="O85" s="9" t="s">
        <v>132</v>
      </c>
      <c r="P85" s="9" t="s">
        <v>229</v>
      </c>
      <c r="Q85" s="36">
        <v>378</v>
      </c>
      <c r="R85" s="43">
        <v>45415</v>
      </c>
      <c r="S85" s="8">
        <v>45424</v>
      </c>
      <c r="T85" s="9" t="s">
        <v>245</v>
      </c>
      <c r="U85" s="8" t="s">
        <v>276</v>
      </c>
    </row>
    <row r="86" spans="1:21" hidden="1">
      <c r="A86" s="7">
        <v>83</v>
      </c>
      <c r="B86" s="35">
        <v>45010</v>
      </c>
      <c r="C86" s="9" t="s">
        <v>23</v>
      </c>
      <c r="D86" s="9" t="s">
        <v>28</v>
      </c>
      <c r="E86" s="9">
        <v>18</v>
      </c>
      <c r="F86" s="37">
        <v>918</v>
      </c>
      <c r="G86" s="9" t="s">
        <v>33</v>
      </c>
      <c r="H86" s="9" t="s">
        <v>281</v>
      </c>
      <c r="I86" s="23">
        <v>0.05</v>
      </c>
      <c r="J86" s="9" t="s">
        <v>42</v>
      </c>
      <c r="K86" s="9">
        <v>2435.5529999999999</v>
      </c>
      <c r="L86" s="9" t="s">
        <v>45</v>
      </c>
      <c r="M86" s="9" t="s">
        <v>49</v>
      </c>
      <c r="N86" s="9">
        <v>1</v>
      </c>
      <c r="O86" s="9" t="s">
        <v>133</v>
      </c>
      <c r="P86" s="9" t="s">
        <v>230</v>
      </c>
      <c r="Q86" s="36">
        <v>201</v>
      </c>
      <c r="R86" s="43">
        <v>45073</v>
      </c>
      <c r="S86" s="8">
        <v>45079</v>
      </c>
      <c r="T86" s="9" t="s">
        <v>249</v>
      </c>
      <c r="U86" s="8" t="s">
        <v>277</v>
      </c>
    </row>
    <row r="87" spans="1:21" hidden="1">
      <c r="A87" s="7">
        <v>84</v>
      </c>
      <c r="B87" s="35">
        <v>45011</v>
      </c>
      <c r="C87" s="9" t="s">
        <v>19</v>
      </c>
      <c r="D87" s="9" t="s">
        <v>26</v>
      </c>
      <c r="E87" s="9">
        <v>12</v>
      </c>
      <c r="F87" s="37">
        <v>919</v>
      </c>
      <c r="G87" s="9" t="s">
        <v>32</v>
      </c>
      <c r="H87" s="9" t="s">
        <v>282</v>
      </c>
      <c r="I87" s="23">
        <v>0</v>
      </c>
      <c r="J87" s="9" t="s">
        <v>42</v>
      </c>
      <c r="K87" s="9">
        <v>6990.24</v>
      </c>
      <c r="L87" s="9" t="s">
        <v>45</v>
      </c>
      <c r="M87" s="9" t="s">
        <v>48</v>
      </c>
      <c r="N87" s="9">
        <v>0</v>
      </c>
      <c r="O87" s="9" t="s">
        <v>134</v>
      </c>
      <c r="P87" s="9" t="s">
        <v>231</v>
      </c>
      <c r="Q87" s="36">
        <v>326</v>
      </c>
      <c r="R87" s="43">
        <v>44931</v>
      </c>
      <c r="S87" s="8">
        <v>44937</v>
      </c>
      <c r="T87" s="9" t="s">
        <v>245</v>
      </c>
      <c r="U87" s="8" t="s">
        <v>278</v>
      </c>
    </row>
    <row r="88" spans="1:21" hidden="1">
      <c r="A88" s="7">
        <v>85</v>
      </c>
      <c r="B88" s="35">
        <v>45012</v>
      </c>
      <c r="C88" s="9" t="s">
        <v>19</v>
      </c>
      <c r="D88" s="9" t="s">
        <v>27</v>
      </c>
      <c r="E88" s="9">
        <v>20</v>
      </c>
      <c r="F88" s="37">
        <v>400</v>
      </c>
      <c r="G88" s="9" t="s">
        <v>32</v>
      </c>
      <c r="H88" s="9" t="s">
        <v>282</v>
      </c>
      <c r="I88" s="23">
        <v>0.15</v>
      </c>
      <c r="J88" s="9" t="s">
        <v>41</v>
      </c>
      <c r="K88" s="9">
        <v>2202.52</v>
      </c>
      <c r="L88" s="9" t="s">
        <v>43</v>
      </c>
      <c r="M88" s="9" t="s">
        <v>50</v>
      </c>
      <c r="N88" s="9">
        <v>0</v>
      </c>
      <c r="O88" s="9" t="s">
        <v>135</v>
      </c>
      <c r="P88" s="9" t="s">
        <v>232</v>
      </c>
      <c r="Q88" s="36">
        <v>231</v>
      </c>
      <c r="R88" s="43">
        <v>45798</v>
      </c>
      <c r="S88" s="8">
        <v>45800</v>
      </c>
      <c r="T88" s="9" t="s">
        <v>245</v>
      </c>
      <c r="U88" s="8" t="s">
        <v>279</v>
      </c>
    </row>
    <row r="89" spans="1:21">
      <c r="A89" s="7">
        <v>86</v>
      </c>
      <c r="B89" s="35">
        <v>45013</v>
      </c>
      <c r="C89" s="9" t="s">
        <v>22</v>
      </c>
      <c r="D89" s="9" t="s">
        <v>29</v>
      </c>
      <c r="E89" s="9">
        <v>17</v>
      </c>
      <c r="F89" s="37">
        <v>445</v>
      </c>
      <c r="G89" s="9" t="s">
        <v>31</v>
      </c>
      <c r="H89" s="9" t="s">
        <v>280</v>
      </c>
      <c r="I89" s="23">
        <v>0</v>
      </c>
      <c r="J89" s="9" t="s">
        <v>37</v>
      </c>
      <c r="K89" s="9"/>
      <c r="L89" s="9" t="s">
        <v>44</v>
      </c>
      <c r="M89" s="9" t="s">
        <v>48</v>
      </c>
      <c r="N89" s="9">
        <v>1</v>
      </c>
      <c r="O89" s="9" t="s">
        <v>136</v>
      </c>
      <c r="P89" s="9" t="s">
        <v>233</v>
      </c>
      <c r="Q89" s="36">
        <v>438</v>
      </c>
      <c r="R89" s="43">
        <v>45128</v>
      </c>
      <c r="S89" s="8">
        <v>45132</v>
      </c>
      <c r="T89" s="9" t="s">
        <v>248</v>
      </c>
      <c r="U89" s="8" t="s">
        <v>274</v>
      </c>
    </row>
    <row r="90" spans="1:21" hidden="1">
      <c r="A90" s="7">
        <v>87</v>
      </c>
      <c r="B90" s="35">
        <v>45014</v>
      </c>
      <c r="C90" s="9" t="s">
        <v>19</v>
      </c>
      <c r="D90" s="9" t="s">
        <v>24</v>
      </c>
      <c r="E90" s="9">
        <v>15</v>
      </c>
      <c r="F90" s="37">
        <v>827</v>
      </c>
      <c r="G90" s="9" t="s">
        <v>33</v>
      </c>
      <c r="H90" s="9" t="s">
        <v>281</v>
      </c>
      <c r="I90" s="23">
        <v>0</v>
      </c>
      <c r="J90" s="9" t="s">
        <v>42</v>
      </c>
      <c r="K90" s="9">
        <v>237.75</v>
      </c>
      <c r="L90" s="9" t="s">
        <v>46</v>
      </c>
      <c r="M90" s="9" t="s">
        <v>50</v>
      </c>
      <c r="N90" s="9">
        <v>0</v>
      </c>
      <c r="O90" s="9" t="s">
        <v>137</v>
      </c>
      <c r="P90" s="9" t="s">
        <v>234</v>
      </c>
      <c r="Q90" s="36">
        <v>218</v>
      </c>
      <c r="R90" s="43">
        <v>45802</v>
      </c>
      <c r="S90" s="8">
        <v>45811</v>
      </c>
      <c r="T90" s="9" t="s">
        <v>245</v>
      </c>
      <c r="U90" s="8" t="s">
        <v>276</v>
      </c>
    </row>
    <row r="91" spans="1:21" hidden="1">
      <c r="A91" s="7">
        <v>88</v>
      </c>
      <c r="B91" s="35">
        <v>45015</v>
      </c>
      <c r="C91" s="9" t="s">
        <v>20</v>
      </c>
      <c r="D91" s="9" t="s">
        <v>29</v>
      </c>
      <c r="E91" s="9">
        <v>20</v>
      </c>
      <c r="F91" s="37">
        <v>377</v>
      </c>
      <c r="G91" s="9" t="s">
        <v>31</v>
      </c>
      <c r="H91" s="9" t="s">
        <v>282</v>
      </c>
      <c r="I91" s="23">
        <v>0.1</v>
      </c>
      <c r="J91" s="9" t="s">
        <v>42</v>
      </c>
      <c r="K91" s="9">
        <v>9870.1200000000008</v>
      </c>
      <c r="L91" s="9" t="s">
        <v>44</v>
      </c>
      <c r="M91" s="9" t="s">
        <v>50</v>
      </c>
      <c r="N91" s="9">
        <v>0</v>
      </c>
      <c r="O91" s="9" t="s">
        <v>138</v>
      </c>
      <c r="P91" s="9" t="s">
        <v>235</v>
      </c>
      <c r="Q91" s="36">
        <v>481</v>
      </c>
      <c r="R91" s="43">
        <v>45612</v>
      </c>
      <c r="S91" s="8">
        <v>45618</v>
      </c>
      <c r="T91" s="9" t="s">
        <v>246</v>
      </c>
      <c r="U91" s="8" t="s">
        <v>277</v>
      </c>
    </row>
    <row r="92" spans="1:21" hidden="1">
      <c r="A92" s="7">
        <v>89</v>
      </c>
      <c r="B92" s="35">
        <v>45016</v>
      </c>
      <c r="C92" s="9" t="s">
        <v>21</v>
      </c>
      <c r="D92" s="9" t="s">
        <v>24</v>
      </c>
      <c r="E92" s="9">
        <v>16</v>
      </c>
      <c r="F92" s="37">
        <v>509</v>
      </c>
      <c r="G92" s="9" t="s">
        <v>33</v>
      </c>
      <c r="H92" s="9" t="s">
        <v>282</v>
      </c>
      <c r="I92" s="23">
        <v>0.05</v>
      </c>
      <c r="J92" s="9" t="s">
        <v>39</v>
      </c>
      <c r="K92" s="9">
        <v>7992.616</v>
      </c>
      <c r="L92" s="9" t="s">
        <v>43</v>
      </c>
      <c r="M92" s="9"/>
      <c r="N92" s="9">
        <v>0</v>
      </c>
      <c r="O92" s="9" t="s">
        <v>139</v>
      </c>
      <c r="P92" s="9" t="s">
        <v>236</v>
      </c>
      <c r="Q92" s="36">
        <v>463</v>
      </c>
      <c r="R92" s="43">
        <v>45249</v>
      </c>
      <c r="S92" s="8">
        <v>45255</v>
      </c>
      <c r="T92" s="9" t="s">
        <v>247</v>
      </c>
      <c r="U92" s="8" t="s">
        <v>278</v>
      </c>
    </row>
    <row r="93" spans="1:21">
      <c r="A93" s="7">
        <v>90</v>
      </c>
      <c r="B93" s="35">
        <v>45017</v>
      </c>
      <c r="C93" s="9" t="s">
        <v>22</v>
      </c>
      <c r="D93" s="9" t="s">
        <v>24</v>
      </c>
      <c r="E93" s="9">
        <v>15</v>
      </c>
      <c r="F93" s="37">
        <v>906</v>
      </c>
      <c r="G93" s="9" t="s">
        <v>32</v>
      </c>
      <c r="H93" s="9" t="s">
        <v>280</v>
      </c>
      <c r="I93" s="23">
        <v>0.05</v>
      </c>
      <c r="J93" s="9" t="s">
        <v>42</v>
      </c>
      <c r="K93" s="9"/>
      <c r="L93" s="9" t="s">
        <v>43</v>
      </c>
      <c r="M93" s="9" t="s">
        <v>49</v>
      </c>
      <c r="N93" s="9">
        <v>0</v>
      </c>
      <c r="O93" s="9" t="s">
        <v>140</v>
      </c>
      <c r="P93" s="9" t="s">
        <v>237</v>
      </c>
      <c r="Q93" s="36">
        <v>185</v>
      </c>
      <c r="R93" s="43">
        <v>45669</v>
      </c>
      <c r="S93" s="8">
        <v>45678</v>
      </c>
      <c r="T93" s="9" t="s">
        <v>248</v>
      </c>
      <c r="U93" s="8" t="s">
        <v>279</v>
      </c>
    </row>
    <row r="94" spans="1:21" hidden="1">
      <c r="A94" s="7">
        <v>91</v>
      </c>
      <c r="B94" s="35">
        <v>45018</v>
      </c>
      <c r="C94" s="9" t="s">
        <v>21</v>
      </c>
      <c r="D94" s="9" t="s">
        <v>28</v>
      </c>
      <c r="E94" s="9">
        <v>19</v>
      </c>
      <c r="F94" s="37">
        <v>236</v>
      </c>
      <c r="G94" s="9" t="s">
        <v>32</v>
      </c>
      <c r="H94" s="9" t="s">
        <v>281</v>
      </c>
      <c r="I94" s="23">
        <v>0.1</v>
      </c>
      <c r="J94" s="9" t="s">
        <v>40</v>
      </c>
      <c r="K94" s="9">
        <v>9575.1450000000004</v>
      </c>
      <c r="L94" s="9" t="s">
        <v>45</v>
      </c>
      <c r="M94" s="9" t="s">
        <v>50</v>
      </c>
      <c r="N94" s="9">
        <v>0</v>
      </c>
      <c r="O94" s="9" t="s">
        <v>141</v>
      </c>
      <c r="P94" s="9" t="s">
        <v>238</v>
      </c>
      <c r="Q94" s="36">
        <v>352</v>
      </c>
      <c r="R94" s="43">
        <v>45014</v>
      </c>
      <c r="S94" s="8">
        <v>45019</v>
      </c>
      <c r="T94" s="9" t="s">
        <v>247</v>
      </c>
      <c r="U94" s="8" t="s">
        <v>274</v>
      </c>
    </row>
    <row r="95" spans="1:21" hidden="1">
      <c r="A95" s="7">
        <v>92</v>
      </c>
      <c r="B95" s="35">
        <v>45019</v>
      </c>
      <c r="C95" s="9" t="s">
        <v>21</v>
      </c>
      <c r="D95" s="9" t="s">
        <v>26</v>
      </c>
      <c r="E95" s="9">
        <v>8</v>
      </c>
      <c r="F95" s="37">
        <v>954</v>
      </c>
      <c r="G95" s="9" t="s">
        <v>33</v>
      </c>
      <c r="H95" s="9" t="s">
        <v>282</v>
      </c>
      <c r="I95" s="23">
        <v>0.05</v>
      </c>
      <c r="J95" s="9" t="s">
        <v>40</v>
      </c>
      <c r="K95" s="9">
        <v>1367.24</v>
      </c>
      <c r="L95" s="9" t="s">
        <v>43</v>
      </c>
      <c r="M95" s="9" t="s">
        <v>49</v>
      </c>
      <c r="N95" s="9">
        <v>0</v>
      </c>
      <c r="O95" s="9" t="s">
        <v>142</v>
      </c>
      <c r="P95" s="9" t="s">
        <v>239</v>
      </c>
      <c r="Q95" s="36">
        <v>196</v>
      </c>
      <c r="R95" s="43">
        <v>45717</v>
      </c>
      <c r="S95" s="8">
        <v>45721</v>
      </c>
      <c r="T95" s="9" t="s">
        <v>247</v>
      </c>
      <c r="U95" s="8" t="s">
        <v>276</v>
      </c>
    </row>
    <row r="96" spans="1:21" hidden="1">
      <c r="A96" s="7">
        <v>93</v>
      </c>
      <c r="B96" s="35">
        <v>45020</v>
      </c>
      <c r="C96" s="9" t="s">
        <v>21</v>
      </c>
      <c r="D96" s="9" t="s">
        <v>27</v>
      </c>
      <c r="E96" s="9">
        <v>12</v>
      </c>
      <c r="F96" s="37">
        <v>592</v>
      </c>
      <c r="G96" s="9" t="s">
        <v>31</v>
      </c>
      <c r="H96" s="9" t="s">
        <v>282</v>
      </c>
      <c r="I96" s="23">
        <v>0.15</v>
      </c>
      <c r="J96" s="9" t="s">
        <v>41</v>
      </c>
      <c r="K96" s="9">
        <v>5040.329999999999</v>
      </c>
      <c r="L96" s="9" t="s">
        <v>43</v>
      </c>
      <c r="M96" s="9" t="s">
        <v>49</v>
      </c>
      <c r="N96" s="9">
        <v>1</v>
      </c>
      <c r="O96" s="9" t="s">
        <v>143</v>
      </c>
      <c r="P96" s="9" t="s">
        <v>240</v>
      </c>
      <c r="Q96" s="36">
        <v>207</v>
      </c>
      <c r="R96" s="43">
        <v>45217</v>
      </c>
      <c r="S96" s="8">
        <v>45219</v>
      </c>
      <c r="T96" s="9" t="s">
        <v>247</v>
      </c>
      <c r="U96" s="8" t="s">
        <v>277</v>
      </c>
    </row>
    <row r="97" spans="1:21" hidden="1">
      <c r="A97" s="7">
        <v>94</v>
      </c>
      <c r="B97" s="35">
        <v>45021</v>
      </c>
      <c r="C97" s="9" t="s">
        <v>19</v>
      </c>
      <c r="D97" s="9" t="s">
        <v>26</v>
      </c>
      <c r="E97" s="9">
        <v>10</v>
      </c>
      <c r="F97" s="37">
        <v>770</v>
      </c>
      <c r="G97" s="9" t="s">
        <v>33</v>
      </c>
      <c r="H97" s="9" t="s">
        <v>280</v>
      </c>
      <c r="I97" s="23">
        <v>0</v>
      </c>
      <c r="J97" s="9" t="s">
        <v>42</v>
      </c>
      <c r="K97" s="9">
        <v>4629.8999999999996</v>
      </c>
      <c r="L97" s="9" t="s">
        <v>45</v>
      </c>
      <c r="M97" s="9" t="s">
        <v>50</v>
      </c>
      <c r="N97" s="9">
        <v>0</v>
      </c>
      <c r="O97" s="9" t="s">
        <v>144</v>
      </c>
      <c r="P97" s="9" t="s">
        <v>241</v>
      </c>
      <c r="Q97" s="36">
        <v>360</v>
      </c>
      <c r="R97" s="43">
        <v>45760</v>
      </c>
      <c r="S97" s="8">
        <v>45762</v>
      </c>
      <c r="T97" s="9" t="s">
        <v>245</v>
      </c>
      <c r="U97" s="8" t="s">
        <v>278</v>
      </c>
    </row>
    <row r="98" spans="1:21">
      <c r="A98" s="7">
        <v>95</v>
      </c>
      <c r="B98" s="35">
        <v>45022</v>
      </c>
      <c r="C98" s="9" t="s">
        <v>22</v>
      </c>
      <c r="D98" s="9" t="s">
        <v>24</v>
      </c>
      <c r="E98" s="9">
        <v>7</v>
      </c>
      <c r="F98" s="37">
        <v>286</v>
      </c>
      <c r="G98" s="9" t="s">
        <v>32</v>
      </c>
      <c r="H98" s="9" t="s">
        <v>281</v>
      </c>
      <c r="I98" s="23">
        <v>0.05</v>
      </c>
      <c r="J98" s="9" t="s">
        <v>38</v>
      </c>
      <c r="K98" s="9"/>
      <c r="L98" s="9" t="s">
        <v>47</v>
      </c>
      <c r="M98" s="9" t="s">
        <v>49</v>
      </c>
      <c r="N98" s="9">
        <v>1</v>
      </c>
      <c r="O98" s="9" t="s">
        <v>145</v>
      </c>
      <c r="P98" s="9" t="s">
        <v>242</v>
      </c>
      <c r="Q98" s="36">
        <v>465</v>
      </c>
      <c r="R98" s="43">
        <v>45790</v>
      </c>
      <c r="S98" s="8">
        <v>45800</v>
      </c>
      <c r="T98" s="9" t="s">
        <v>248</v>
      </c>
      <c r="U98" s="8" t="s">
        <v>279</v>
      </c>
    </row>
    <row r="99" spans="1:21" hidden="1">
      <c r="A99" s="7">
        <v>96</v>
      </c>
      <c r="B99" s="35">
        <v>45023</v>
      </c>
      <c r="C99" s="9" t="s">
        <v>23</v>
      </c>
      <c r="D99" s="9" t="s">
        <v>30</v>
      </c>
      <c r="E99" s="9">
        <v>17</v>
      </c>
      <c r="F99" s="37">
        <v>985</v>
      </c>
      <c r="G99" s="9" t="s">
        <v>31</v>
      </c>
      <c r="H99" s="9" t="s">
        <v>282</v>
      </c>
      <c r="I99" s="23">
        <v>0.05</v>
      </c>
      <c r="J99" s="9" t="s">
        <v>37</v>
      </c>
      <c r="K99" s="9">
        <v>4998.7479999999996</v>
      </c>
      <c r="L99" s="9" t="s">
        <v>43</v>
      </c>
      <c r="M99" s="9" t="s">
        <v>48</v>
      </c>
      <c r="N99" s="9">
        <v>0</v>
      </c>
      <c r="O99" s="9" t="s">
        <v>146</v>
      </c>
      <c r="P99" s="9" t="s">
        <v>243</v>
      </c>
      <c r="Q99" s="36">
        <v>309</v>
      </c>
      <c r="R99" s="43">
        <v>45403</v>
      </c>
      <c r="S99" s="8">
        <v>45409</v>
      </c>
      <c r="T99" s="9" t="s">
        <v>249</v>
      </c>
      <c r="U99" s="8" t="s">
        <v>274</v>
      </c>
    </row>
    <row r="100" spans="1:21">
      <c r="A100" s="7">
        <v>97</v>
      </c>
      <c r="B100" s="35">
        <v>45024</v>
      </c>
      <c r="C100" s="9" t="s">
        <v>22</v>
      </c>
      <c r="D100" s="9" t="s">
        <v>28</v>
      </c>
      <c r="E100" s="9">
        <v>1</v>
      </c>
      <c r="F100" s="37">
        <v>545</v>
      </c>
      <c r="G100" s="9" t="s">
        <v>31</v>
      </c>
      <c r="H100" s="9" t="s">
        <v>282</v>
      </c>
      <c r="I100" s="23">
        <v>0.05</v>
      </c>
      <c r="J100" s="9" t="s">
        <v>37</v>
      </c>
      <c r="K100" s="9"/>
      <c r="L100" s="9" t="s">
        <v>45</v>
      </c>
      <c r="M100" s="9" t="s">
        <v>50</v>
      </c>
      <c r="N100" s="9">
        <v>0</v>
      </c>
      <c r="O100" s="9" t="s">
        <v>147</v>
      </c>
      <c r="P100" s="9" t="s">
        <v>244</v>
      </c>
      <c r="Q100" s="36">
        <v>141</v>
      </c>
      <c r="R100" s="43">
        <v>45688</v>
      </c>
      <c r="S100" s="8">
        <v>45696</v>
      </c>
      <c r="T100" s="9" t="s">
        <v>248</v>
      </c>
      <c r="U100" s="8" t="s">
        <v>276</v>
      </c>
    </row>
    <row r="101" spans="1:21">
      <c r="A101" s="2"/>
      <c r="B101" s="3"/>
      <c r="C101" s="3"/>
      <c r="D101" s="3"/>
      <c r="E101" s="3"/>
      <c r="F101" s="3"/>
      <c r="G101" s="3"/>
      <c r="H101" s="3"/>
      <c r="I101" s="3"/>
      <c r="J101" s="3"/>
      <c r="K101" s="3"/>
      <c r="L101" s="3"/>
      <c r="M101" s="3"/>
      <c r="N101" s="3"/>
      <c r="O101" s="3"/>
      <c r="P101" s="3"/>
      <c r="Q101" s="2"/>
      <c r="R101" s="2"/>
      <c r="S101" s="3"/>
    </row>
  </sheetData>
  <autoFilter ref="A3:U100">
    <filterColumn colId="2">
      <filters>
        <filter val="Central"/>
      </filters>
    </filterColumn>
  </autoFilter>
  <mergeCells count="1">
    <mergeCell ref="A2:S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2:AB23"/>
  <sheetViews>
    <sheetView topLeftCell="T1" zoomScale="55" zoomScaleNormal="55" workbookViewId="0">
      <selection activeCell="AB18" sqref="AB18"/>
    </sheetView>
  </sheetViews>
  <sheetFormatPr defaultRowHeight="14.4"/>
  <cols>
    <col min="1" max="1" width="14" customWidth="1"/>
    <col min="2" max="2" width="19.109375" customWidth="1"/>
    <col min="3" max="3" width="14" customWidth="1"/>
    <col min="4" max="4" width="22.44140625" customWidth="1"/>
    <col min="5" max="6" width="21.109375" customWidth="1"/>
    <col min="7" max="7" width="19.109375" customWidth="1"/>
    <col min="8" max="8" width="20.44140625" customWidth="1"/>
    <col min="9" max="9" width="21.109375" customWidth="1"/>
    <col min="10" max="10" width="19.109375" customWidth="1"/>
    <col min="11" max="11" width="22.33203125" customWidth="1"/>
    <col min="12" max="12" width="11.33203125" customWidth="1"/>
    <col min="13" max="13" width="14.77734375" customWidth="1"/>
    <col min="14" max="14" width="21.109375" customWidth="1"/>
    <col min="15" max="15" width="19.109375" customWidth="1"/>
    <col min="16" max="16" width="15.44140625" customWidth="1"/>
    <col min="17" max="18" width="6.21875" customWidth="1"/>
    <col min="19" max="19" width="5.44140625" customWidth="1"/>
    <col min="20" max="20" width="16.109375" customWidth="1"/>
    <col min="21" max="21" width="21.109375" customWidth="1"/>
    <col min="22" max="22" width="19.109375" customWidth="1"/>
    <col min="27" max="27" width="21.109375" customWidth="1"/>
    <col min="28" max="28" width="22.33203125" customWidth="1"/>
  </cols>
  <sheetData>
    <row r="2" spans="1:15">
      <c r="A2" s="38">
        <f>GETPIVOTDATA("Net Sales ",$A$3)</f>
        <v>255738.43299999996</v>
      </c>
      <c r="C2" s="38">
        <f>GETPIVOTDATA("ShippingCost",$C$3)</f>
        <v>2034453</v>
      </c>
    </row>
    <row r="3" spans="1:15">
      <c r="A3" s="44" t="s">
        <v>287</v>
      </c>
      <c r="C3" s="44" t="s">
        <v>283</v>
      </c>
    </row>
    <row r="4" spans="1:15">
      <c r="A4" s="41">
        <v>255738.43299999996</v>
      </c>
      <c r="C4" s="41">
        <v>2034453</v>
      </c>
    </row>
    <row r="5" spans="1:15">
      <c r="A5" s="38"/>
    </row>
    <row r="8" spans="1:15">
      <c r="A8" s="38">
        <f>GETPIVOTDATA("Profit",$A$9)</f>
        <v>62154</v>
      </c>
      <c r="C8" s="38">
        <f>GETPIVOTDATA("Discount",$C$9)</f>
        <v>7.2999999999999963</v>
      </c>
    </row>
    <row r="9" spans="1:15">
      <c r="A9" s="44" t="s">
        <v>288</v>
      </c>
      <c r="C9" s="44" t="s">
        <v>284</v>
      </c>
    </row>
    <row r="10" spans="1:15">
      <c r="A10" s="41">
        <v>62154</v>
      </c>
      <c r="C10" s="41">
        <v>7.2999999999999963</v>
      </c>
    </row>
    <row r="11" spans="1:15">
      <c r="B11" s="38"/>
    </row>
    <row r="14" spans="1:15">
      <c r="N14" s="32" t="s">
        <v>289</v>
      </c>
      <c r="O14" s="44" t="s">
        <v>287</v>
      </c>
    </row>
    <row r="15" spans="1:15">
      <c r="N15" s="44" t="s">
        <v>27</v>
      </c>
      <c r="O15" s="41">
        <v>84589.205000000002</v>
      </c>
    </row>
    <row r="16" spans="1:15">
      <c r="A16" s="45" t="s">
        <v>289</v>
      </c>
      <c r="B16" t="s">
        <v>287</v>
      </c>
      <c r="C16" t="s">
        <v>288</v>
      </c>
      <c r="F16" s="32" t="s">
        <v>289</v>
      </c>
      <c r="G16" s="44" t="s">
        <v>287</v>
      </c>
      <c r="I16" s="32" t="s">
        <v>289</v>
      </c>
      <c r="J16" s="44" t="s">
        <v>287</v>
      </c>
      <c r="K16" s="44" t="s">
        <v>283</v>
      </c>
      <c r="N16" s="44" t="s">
        <v>26</v>
      </c>
      <c r="O16" s="41">
        <v>35548.142999999996</v>
      </c>
    </row>
    <row r="17" spans="1:28">
      <c r="A17" s="46" t="s">
        <v>22</v>
      </c>
      <c r="B17" s="31">
        <v>60357.217499999999</v>
      </c>
      <c r="C17" s="31">
        <v>16477</v>
      </c>
      <c r="F17" s="44" t="s">
        <v>47</v>
      </c>
      <c r="G17" s="41">
        <v>19720.548999999999</v>
      </c>
      <c r="I17" s="44" t="s">
        <v>274</v>
      </c>
      <c r="J17" s="41">
        <v>51027.070499999994</v>
      </c>
      <c r="K17" s="41">
        <v>717111</v>
      </c>
      <c r="N17" s="44" t="s">
        <v>24</v>
      </c>
      <c r="O17" s="41">
        <v>32596.785499999998</v>
      </c>
      <c r="AA17" s="32" t="s">
        <v>289</v>
      </c>
      <c r="AB17" s="44" t="s">
        <v>283</v>
      </c>
    </row>
    <row r="18" spans="1:28">
      <c r="A18" s="46" t="s">
        <v>19</v>
      </c>
      <c r="B18" s="31">
        <v>53515.164999999986</v>
      </c>
      <c r="C18" s="31">
        <v>10332</v>
      </c>
      <c r="F18" s="44" t="s">
        <v>45</v>
      </c>
      <c r="G18" s="41">
        <v>34346.32</v>
      </c>
      <c r="I18" s="44" t="s">
        <v>278</v>
      </c>
      <c r="J18" s="41">
        <v>99772.376999999993</v>
      </c>
      <c r="K18" s="41">
        <v>1063977</v>
      </c>
      <c r="N18" s="44" t="s">
        <v>28</v>
      </c>
      <c r="O18" s="41">
        <v>23649.673000000003</v>
      </c>
      <c r="U18" s="32" t="s">
        <v>289</v>
      </c>
      <c r="V18" s="44" t="s">
        <v>287</v>
      </c>
      <c r="AA18" s="44" t="s">
        <v>22</v>
      </c>
      <c r="AB18" s="42">
        <v>0.98968174737877945</v>
      </c>
    </row>
    <row r="19" spans="1:28">
      <c r="A19" s="46" t="s">
        <v>21</v>
      </c>
      <c r="B19" s="31">
        <v>50428.544999999991</v>
      </c>
      <c r="C19" s="31">
        <v>10476</v>
      </c>
      <c r="F19" s="44" t="s">
        <v>46</v>
      </c>
      <c r="G19" s="41">
        <v>17684.913499999999</v>
      </c>
      <c r="I19" s="44" t="s">
        <v>277</v>
      </c>
      <c r="J19" s="41">
        <v>48001.408500000005</v>
      </c>
      <c r="K19" s="41">
        <v>147266</v>
      </c>
      <c r="N19" s="44" t="s">
        <v>25</v>
      </c>
      <c r="O19" s="41">
        <v>39395.702999999994</v>
      </c>
      <c r="U19" s="44" t="s">
        <v>280</v>
      </c>
      <c r="V19" s="41">
        <v>32464.654000000002</v>
      </c>
      <c r="AA19" s="44" t="s">
        <v>19</v>
      </c>
      <c r="AB19" s="42">
        <v>2.3121694135966766E-3</v>
      </c>
    </row>
    <row r="20" spans="1:28">
      <c r="A20" s="46" t="s">
        <v>20</v>
      </c>
      <c r="B20" s="31">
        <v>59673.343499999995</v>
      </c>
      <c r="C20" s="31">
        <v>14275</v>
      </c>
      <c r="F20" s="44" t="s">
        <v>44</v>
      </c>
      <c r="G20" s="41">
        <v>105831.5975</v>
      </c>
      <c r="I20" s="44" t="s">
        <v>276</v>
      </c>
      <c r="J20" s="41">
        <v>22432.125</v>
      </c>
      <c r="K20" s="41">
        <v>61241</v>
      </c>
      <c r="N20" s="44" t="s">
        <v>30</v>
      </c>
      <c r="O20" s="41">
        <v>7115.1880000000001</v>
      </c>
      <c r="U20" s="44" t="s">
        <v>281</v>
      </c>
      <c r="V20" s="41">
        <v>58027.035000000003</v>
      </c>
      <c r="AA20" s="44" t="s">
        <v>21</v>
      </c>
      <c r="AB20" s="42">
        <v>2.6228180252873866E-3</v>
      </c>
    </row>
    <row r="21" spans="1:28">
      <c r="A21" s="46" t="s">
        <v>23</v>
      </c>
      <c r="B21" s="31">
        <v>31764.162</v>
      </c>
      <c r="C21" s="31">
        <v>10594</v>
      </c>
      <c r="F21" s="44" t="s">
        <v>43</v>
      </c>
      <c r="G21" s="41">
        <v>78155.053000000014</v>
      </c>
      <c r="I21" s="44" t="s">
        <v>279</v>
      </c>
      <c r="J21" s="41">
        <v>34505.451999999997</v>
      </c>
      <c r="K21" s="41">
        <v>44858</v>
      </c>
      <c r="N21" s="44" t="s">
        <v>29</v>
      </c>
      <c r="O21" s="41">
        <v>32843.735500000003</v>
      </c>
      <c r="U21" s="44" t="s">
        <v>282</v>
      </c>
      <c r="V21" s="41">
        <v>165246.74400000001</v>
      </c>
      <c r="AA21" s="44" t="s">
        <v>20</v>
      </c>
      <c r="AB21" s="42">
        <v>3.0745364970338465E-3</v>
      </c>
    </row>
    <row r="22" spans="1:28">
      <c r="A22" s="46" t="s">
        <v>290</v>
      </c>
      <c r="B22" s="31">
        <v>255738.43299999996</v>
      </c>
      <c r="C22" s="31">
        <v>62154</v>
      </c>
      <c r="F22" s="44" t="s">
        <v>290</v>
      </c>
      <c r="G22" s="41">
        <v>255738.43300000002</v>
      </c>
      <c r="I22" s="44" t="s">
        <v>290</v>
      </c>
      <c r="J22" s="41">
        <v>255738.43299999996</v>
      </c>
      <c r="K22" s="41">
        <v>2034453</v>
      </c>
      <c r="N22" s="44" t="s">
        <v>290</v>
      </c>
      <c r="O22" s="41">
        <v>255738.43299999999</v>
      </c>
      <c r="U22" s="44" t="s">
        <v>290</v>
      </c>
      <c r="V22" s="41">
        <v>255738.43300000002</v>
      </c>
      <c r="AA22" s="44" t="s">
        <v>23</v>
      </c>
      <c r="AB22" s="42">
        <v>2.308728685302634E-3</v>
      </c>
    </row>
    <row r="23" spans="1:28">
      <c r="AA23" s="44" t="s">
        <v>290</v>
      </c>
      <c r="AB23" s="42">
        <v>1</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
  <sheetViews>
    <sheetView showGridLines="0" showRowColHeaders="0" tabSelected="1" zoomScale="70" zoomScaleNormal="70" workbookViewId="0">
      <selection activeCell="N7" sqref="N7"/>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Practice</vt:lpstr>
      <vt:lpstr>well data </vt:lpstr>
      <vt:lpstr>kpi</vt:lpstr>
      <vt:lpstr>Final Dashboard</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Aman Bhatt</cp:lastModifiedBy>
  <cp:lastPrinted>2025-12-13T15:30:18Z</cp:lastPrinted>
  <dcterms:created xsi:type="dcterms:W3CDTF">2025-06-21T13:19:11Z</dcterms:created>
  <dcterms:modified xsi:type="dcterms:W3CDTF">2025-12-17T19:03:21Z</dcterms:modified>
</cp:coreProperties>
</file>